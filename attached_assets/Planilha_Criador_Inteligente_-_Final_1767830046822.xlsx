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c77154214d17a15/Documentos/2025/"/>
    </mc:Choice>
  </mc:AlternateContent>
  <xr:revisionPtr revIDLastSave="445" documentId="8_{658248E6-3B3C-4724-BE55-9116CA088965}" xr6:coauthVersionLast="47" xr6:coauthVersionMax="47" xr10:uidLastSave="{9CDB2D2E-2A5C-4F94-B3C5-AC117073F47F}"/>
  <bookViews>
    <workbookView xWindow="-120" yWindow="-120" windowWidth="20730" windowHeight="11040" xr2:uid="{24709EE3-FB91-4805-AEBB-1B2451C184B7}"/>
  </bookViews>
  <sheets>
    <sheet name="Dashboard" sheetId="3" r:id="rId1"/>
    <sheet name="Tilápia" sheetId="2" state="hidden" r:id="rId2"/>
  </sheets>
  <definedNames>
    <definedName name="_xlnm.Print_Area" localSheetId="1">Tilápia!#REF!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8" i="2" l="1"/>
  <c r="AB39" i="2"/>
  <c r="Z39" i="2"/>
  <c r="X38" i="2"/>
  <c r="W38" i="2"/>
  <c r="AD2" i="2"/>
  <c r="Z2" i="2"/>
  <c r="V2" i="2" s="1"/>
  <c r="AC2" i="2"/>
  <c r="AC3" i="2" s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4" i="2"/>
  <c r="Z15" i="2"/>
  <c r="Z14" i="2"/>
  <c r="Z13" i="2"/>
  <c r="Z12" i="2"/>
  <c r="Z11" i="2"/>
  <c r="Z10" i="2"/>
  <c r="L4" i="2"/>
  <c r="L5" i="2"/>
  <c r="D4" i="2"/>
  <c r="L6" i="2"/>
  <c r="M4" i="2"/>
  <c r="M5" i="2"/>
  <c r="L7" i="2"/>
  <c r="M6" i="2"/>
  <c r="L8" i="2"/>
  <c r="M7" i="2"/>
  <c r="L9" i="2"/>
  <c r="M8" i="2"/>
  <c r="L10" i="2"/>
  <c r="M9" i="2"/>
  <c r="L11" i="2"/>
  <c r="M10" i="2"/>
  <c r="L12" i="2"/>
  <c r="M11" i="2"/>
  <c r="L13" i="2"/>
  <c r="M12" i="2"/>
  <c r="L14" i="2"/>
  <c r="L15" i="2"/>
  <c r="M13" i="2"/>
  <c r="L16" i="2"/>
  <c r="M14" i="2"/>
  <c r="M15" i="2"/>
  <c r="L17" i="2"/>
  <c r="L18" i="2"/>
  <c r="M16" i="2"/>
  <c r="M17" i="2"/>
  <c r="L19" i="2"/>
  <c r="L20" i="2"/>
  <c r="M18" i="2"/>
  <c r="L21" i="2"/>
  <c r="M19" i="2"/>
  <c r="M20" i="2"/>
  <c r="L22" i="2"/>
  <c r="L23" i="2"/>
  <c r="M21" i="2"/>
  <c r="M22" i="2"/>
  <c r="L24" i="2"/>
  <c r="M23" i="2"/>
  <c r="L25" i="2"/>
  <c r="L26" i="2"/>
  <c r="M24" i="2"/>
  <c r="M25" i="2"/>
  <c r="L27" i="2"/>
  <c r="M26" i="2"/>
  <c r="L28" i="2"/>
  <c r="L29" i="2"/>
  <c r="M27" i="2"/>
  <c r="M28" i="2"/>
  <c r="L30" i="2"/>
  <c r="M29" i="2"/>
  <c r="L31" i="2"/>
  <c r="M30" i="2"/>
  <c r="L32" i="2"/>
  <c r="M31" i="2"/>
  <c r="L33" i="2"/>
  <c r="L34" i="2"/>
  <c r="M32" i="2"/>
  <c r="L35" i="2"/>
  <c r="M33" i="2"/>
  <c r="L36" i="2"/>
  <c r="M34" i="2"/>
  <c r="M35" i="2"/>
  <c r="E8" i="2" l="1"/>
  <c r="E6" i="2"/>
  <c r="D7" i="2" s="1"/>
  <c r="E12" i="2"/>
  <c r="D13" i="2" s="1"/>
  <c r="E15" i="2"/>
  <c r="D16" i="2" s="1"/>
  <c r="E25" i="2"/>
  <c r="D26" i="2" s="1"/>
  <c r="E28" i="2"/>
  <c r="H28" i="2" s="1"/>
  <c r="I28" i="2" s="1"/>
  <c r="E31" i="2"/>
  <c r="D32" i="2" s="1"/>
  <c r="E20" i="2"/>
  <c r="D21" i="2" s="1"/>
  <c r="E19" i="2"/>
  <c r="D20" i="2" s="1"/>
  <c r="E22" i="2"/>
  <c r="D23" i="2" s="1"/>
  <c r="E33" i="2"/>
  <c r="D34" i="2" s="1"/>
  <c r="E10" i="2"/>
  <c r="D11" i="2" s="1"/>
  <c r="E18" i="2"/>
  <c r="H18" i="2" s="1"/>
  <c r="I18" i="2" s="1"/>
  <c r="E34" i="2"/>
  <c r="D35" i="2" s="1"/>
  <c r="E21" i="2"/>
  <c r="D22" i="2" s="1"/>
  <c r="N22" i="2" s="1"/>
  <c r="O22" i="2" s="1"/>
  <c r="P22" i="2" s="1"/>
  <c r="E14" i="2"/>
  <c r="D15" i="2" s="1"/>
  <c r="N15" i="2" s="1"/>
  <c r="R15" i="2" s="1"/>
  <c r="E17" i="2"/>
  <c r="D18" i="2" s="1"/>
  <c r="E5" i="2"/>
  <c r="D6" i="2" s="1"/>
  <c r="N6" i="2" s="1"/>
  <c r="O6" i="2" s="1"/>
  <c r="T6" i="2" s="1"/>
  <c r="E7" i="2"/>
  <c r="D8" i="2" s="1"/>
  <c r="N8" i="2" s="1"/>
  <c r="E23" i="2"/>
  <c r="D24" i="2" s="1"/>
  <c r="E29" i="2"/>
  <c r="D30" i="2" s="1"/>
  <c r="E32" i="2"/>
  <c r="D33" i="2" s="1"/>
  <c r="N33" i="2" s="1"/>
  <c r="R33" i="2" s="1"/>
  <c r="E16" i="2"/>
  <c r="D17" i="2" s="1"/>
  <c r="N17" i="2" s="1"/>
  <c r="E35" i="2"/>
  <c r="D36" i="2" s="1"/>
  <c r="N36" i="2" s="1"/>
  <c r="O36" i="2" s="1"/>
  <c r="E27" i="2"/>
  <c r="D28" i="2" s="1"/>
  <c r="E11" i="2"/>
  <c r="D12" i="2" s="1"/>
  <c r="H12" i="2" s="1"/>
  <c r="I12" i="2" s="1"/>
  <c r="E36" i="2"/>
  <c r="E4" i="2"/>
  <c r="E13" i="2"/>
  <c r="E30" i="2"/>
  <c r="D31" i="2" s="1"/>
  <c r="E26" i="2"/>
  <c r="D27" i="2" s="1"/>
  <c r="N27" i="2" s="1"/>
  <c r="O27" i="2" s="1"/>
  <c r="E24" i="2"/>
  <c r="N7" i="2"/>
  <c r="H7" i="2"/>
  <c r="I7" i="2" s="1"/>
  <c r="D9" i="2"/>
  <c r="H8" i="2"/>
  <c r="I8" i="2" s="1"/>
  <c r="O8" i="2"/>
  <c r="R8" i="2"/>
  <c r="H11" i="2"/>
  <c r="I11" i="2" s="1"/>
  <c r="E9" i="2"/>
  <c r="N30" i="2"/>
  <c r="N35" i="2" l="1"/>
  <c r="O35" i="2" s="1"/>
  <c r="N20" i="2"/>
  <c r="H15" i="2"/>
  <c r="I15" i="2" s="1"/>
  <c r="R36" i="2"/>
  <c r="R27" i="2"/>
  <c r="H23" i="2"/>
  <c r="I23" i="2" s="1"/>
  <c r="H20" i="2"/>
  <c r="I20" i="2" s="1"/>
  <c r="N34" i="2"/>
  <c r="R34" i="2" s="1"/>
  <c r="P6" i="2"/>
  <c r="D29" i="2"/>
  <c r="O15" i="2"/>
  <c r="H31" i="2"/>
  <c r="I31" i="2" s="1"/>
  <c r="H33" i="2"/>
  <c r="I33" i="2" s="1"/>
  <c r="N12" i="2"/>
  <c r="R12" i="2" s="1"/>
  <c r="H26" i="2"/>
  <c r="I26" i="2" s="1"/>
  <c r="R6" i="2"/>
  <c r="H36" i="2"/>
  <c r="I36" i="2" s="1"/>
  <c r="H6" i="2"/>
  <c r="I6" i="2" s="1"/>
  <c r="R17" i="2"/>
  <c r="O17" i="2"/>
  <c r="O33" i="2"/>
  <c r="T33" i="2" s="1"/>
  <c r="H22" i="2"/>
  <c r="I22" i="2" s="1"/>
  <c r="R22" i="2"/>
  <c r="N21" i="2"/>
  <c r="O21" i="2" s="1"/>
  <c r="H21" i="2"/>
  <c r="I21" i="2" s="1"/>
  <c r="N26" i="2"/>
  <c r="R35" i="2"/>
  <c r="T22" i="2"/>
  <c r="N31" i="2"/>
  <c r="H16" i="2"/>
  <c r="I16" i="2" s="1"/>
  <c r="N24" i="2"/>
  <c r="N11" i="2"/>
  <c r="N16" i="2"/>
  <c r="N13" i="2"/>
  <c r="N23" i="2"/>
  <c r="H34" i="2"/>
  <c r="I34" i="2" s="1"/>
  <c r="H35" i="2"/>
  <c r="I35" i="2" s="1"/>
  <c r="H27" i="2"/>
  <c r="I27" i="2" s="1"/>
  <c r="D19" i="2"/>
  <c r="N28" i="2"/>
  <c r="N18" i="2"/>
  <c r="D14" i="2"/>
  <c r="H13" i="2"/>
  <c r="I13" i="2" s="1"/>
  <c r="D5" i="2"/>
  <c r="H4" i="2"/>
  <c r="I4" i="2" s="1"/>
  <c r="N4" i="2"/>
  <c r="H24" i="2"/>
  <c r="I24" i="2" s="1"/>
  <c r="D25" i="2"/>
  <c r="H17" i="2"/>
  <c r="I17" i="2" s="1"/>
  <c r="H30" i="2"/>
  <c r="I30" i="2" s="1"/>
  <c r="R7" i="2"/>
  <c r="O7" i="2"/>
  <c r="P17" i="2"/>
  <c r="T17" i="2"/>
  <c r="T27" i="2"/>
  <c r="P27" i="2"/>
  <c r="O30" i="2"/>
  <c r="R30" i="2"/>
  <c r="P35" i="2"/>
  <c r="T35" i="2"/>
  <c r="O20" i="2"/>
  <c r="R20" i="2"/>
  <c r="N29" i="2"/>
  <c r="H29" i="2"/>
  <c r="I29" i="2" s="1"/>
  <c r="N9" i="2"/>
  <c r="P36" i="2"/>
  <c r="T36" i="2"/>
  <c r="T8" i="2"/>
  <c r="P8" i="2"/>
  <c r="P15" i="2"/>
  <c r="T15" i="2"/>
  <c r="N32" i="2"/>
  <c r="H32" i="2"/>
  <c r="I32" i="2" s="1"/>
  <c r="D10" i="2"/>
  <c r="H9" i="2"/>
  <c r="I9" i="2" s="1"/>
  <c r="O12" i="2"/>
  <c r="P33" i="2" l="1"/>
  <c r="O34" i="2"/>
  <c r="R21" i="2"/>
  <c r="R13" i="2"/>
  <c r="AA2" i="2" s="1"/>
  <c r="AB2" i="2" s="1"/>
  <c r="AB3" i="2" s="1"/>
  <c r="O13" i="2"/>
  <c r="O26" i="2"/>
  <c r="R26" i="2"/>
  <c r="O11" i="2"/>
  <c r="R11" i="2"/>
  <c r="O16" i="2"/>
  <c r="R16" i="2"/>
  <c r="N19" i="2"/>
  <c r="H19" i="2"/>
  <c r="I19" i="2" s="1"/>
  <c r="R24" i="2"/>
  <c r="O24" i="2"/>
  <c r="O28" i="2"/>
  <c r="R28" i="2"/>
  <c r="O31" i="2"/>
  <c r="R31" i="2"/>
  <c r="R18" i="2"/>
  <c r="O18" i="2"/>
  <c r="O23" i="2"/>
  <c r="R23" i="2"/>
  <c r="H25" i="2"/>
  <c r="I25" i="2" s="1"/>
  <c r="N25" i="2"/>
  <c r="O4" i="2"/>
  <c r="R4" i="2"/>
  <c r="N5" i="2"/>
  <c r="H5" i="2"/>
  <c r="I5" i="2" s="1"/>
  <c r="N14" i="2"/>
  <c r="H14" i="2"/>
  <c r="I14" i="2" s="1"/>
  <c r="N10" i="2"/>
  <c r="H10" i="2"/>
  <c r="I10" i="2" s="1"/>
  <c r="O29" i="2"/>
  <c r="R29" i="2"/>
  <c r="P21" i="2"/>
  <c r="T21" i="2"/>
  <c r="T34" i="2"/>
  <c r="P34" i="2"/>
  <c r="P20" i="2"/>
  <c r="T20" i="2"/>
  <c r="O32" i="2"/>
  <c r="R32" i="2"/>
  <c r="T7" i="2"/>
  <c r="P7" i="2"/>
  <c r="O9" i="2"/>
  <c r="R9" i="2"/>
  <c r="P12" i="2"/>
  <c r="T12" i="2"/>
  <c r="P30" i="2"/>
  <c r="T30" i="2"/>
  <c r="O19" i="2" l="1"/>
  <c r="R19" i="2"/>
  <c r="P16" i="2"/>
  <c r="T16" i="2"/>
  <c r="T28" i="2"/>
  <c r="P28" i="2"/>
  <c r="P11" i="2"/>
  <c r="T11" i="2"/>
  <c r="T24" i="2"/>
  <c r="P24" i="2"/>
  <c r="P23" i="2"/>
  <c r="T23" i="2"/>
  <c r="P26" i="2"/>
  <c r="T26" i="2"/>
  <c r="T31" i="2"/>
  <c r="P31" i="2"/>
  <c r="P18" i="2"/>
  <c r="T18" i="2"/>
  <c r="T13" i="2"/>
  <c r="P13" i="2"/>
  <c r="O5" i="2"/>
  <c r="R5" i="2"/>
  <c r="O14" i="2"/>
  <c r="R14" i="2"/>
  <c r="O25" i="2"/>
  <c r="R25" i="2"/>
  <c r="P4" i="2"/>
  <c r="T4" i="2"/>
  <c r="T9" i="2"/>
  <c r="P9" i="2"/>
  <c r="T32" i="2"/>
  <c r="P32" i="2"/>
  <c r="T29" i="2"/>
  <c r="P29" i="2"/>
  <c r="O10" i="2"/>
  <c r="R10" i="2"/>
  <c r="P19" i="2" l="1"/>
  <c r="T19" i="2"/>
  <c r="T25" i="2"/>
  <c r="P25" i="2"/>
  <c r="P14" i="2"/>
  <c r="T14" i="2"/>
  <c r="P5" i="2"/>
  <c r="T5" i="2"/>
  <c r="T10" i="2"/>
  <c r="P10" i="2"/>
</calcChain>
</file>

<file path=xl/sharedStrings.xml><?xml version="1.0" encoding="utf-8"?>
<sst xmlns="http://schemas.openxmlformats.org/spreadsheetml/2006/main" count="120" uniqueCount="60">
  <si>
    <t>PROGRAMA ALIMENTAR - TILÁPIA</t>
  </si>
  <si>
    <t xml:space="preserve">Quantidade inicial </t>
  </si>
  <si>
    <t>Correção</t>
  </si>
  <si>
    <t>Tipo de ração</t>
  </si>
  <si>
    <t>P.M. inicial (g)</t>
  </si>
  <si>
    <t>P.M. final (g)</t>
  </si>
  <si>
    <t>Biomassa inicial (kg)</t>
  </si>
  <si>
    <t>Biomassa final (kg)</t>
  </si>
  <si>
    <t>Semana de cultivo</t>
  </si>
  <si>
    <t>Dias de cultivo</t>
  </si>
  <si>
    <t>Ganho de peso (g)</t>
  </si>
  <si>
    <t>GPD (g)</t>
  </si>
  <si>
    <t>%PV</t>
  </si>
  <si>
    <t>%PV base</t>
  </si>
  <si>
    <t>Qtd. de peixes</t>
  </si>
  <si>
    <t>Qtd. Final</t>
  </si>
  <si>
    <t>Consumo diário (kg)</t>
  </si>
  <si>
    <t>Consumo Semanal (kg)</t>
  </si>
  <si>
    <t>FCA</t>
  </si>
  <si>
    <t>Custo acumulado</t>
  </si>
  <si>
    <t>45% farelada</t>
  </si>
  <si>
    <t>Preço saco</t>
  </si>
  <si>
    <t>Preço kg</t>
  </si>
  <si>
    <t>0,8mm</t>
  </si>
  <si>
    <t>1,2mm</t>
  </si>
  <si>
    <t>40% 2mm</t>
  </si>
  <si>
    <t>1,7mm</t>
  </si>
  <si>
    <t>2-4mm</t>
  </si>
  <si>
    <t>4-6mm</t>
  </si>
  <si>
    <t>6-8mm</t>
  </si>
  <si>
    <t>35% 4mm</t>
  </si>
  <si>
    <t>32% C 6-8mm</t>
  </si>
  <si>
    <t>32% T 8-10mm</t>
  </si>
  <si>
    <t>PROGRAMA ALIMENTAR DA TILÁPIA</t>
  </si>
  <si>
    <t>QUANTIDADE DE PEIXES</t>
  </si>
  <si>
    <t>PESO MÉDIO (g)</t>
  </si>
  <si>
    <t>Referência</t>
  </si>
  <si>
    <t>Quantidade por trato</t>
  </si>
  <si>
    <t>Tratos</t>
  </si>
  <si>
    <t>Consumo por trato (g)</t>
  </si>
  <si>
    <t>TEMPERATURA DA ÁGUA (ºC)</t>
  </si>
  <si>
    <t>Temp</t>
  </si>
  <si>
    <t>quantos peixes tem no tanque de cultivo?</t>
  </si>
  <si>
    <t>qual a temperatura média da água no atual período?</t>
  </si>
  <si>
    <t>TIPO DE RAÇÃO</t>
  </si>
  <si>
    <t>Ração 45% 1 mm</t>
  </si>
  <si>
    <t>Ração 40% 1,7 a 2 mm</t>
  </si>
  <si>
    <t>Ração 35% 4 a 6 mm</t>
  </si>
  <si>
    <t>Ração Terminação 32% 6 a 8 mm</t>
  </si>
  <si>
    <t>Ração 32% Crescimento 6 a 8 mm</t>
  </si>
  <si>
    <t>qual o peso médio do peixe hoje?</t>
  </si>
  <si>
    <t>1º Trato 8:00</t>
  </si>
  <si>
    <t>3º Trato 11:00</t>
  </si>
  <si>
    <t>4º Trato 13:00</t>
  </si>
  <si>
    <t>5º Trato 15:00</t>
  </si>
  <si>
    <t>1º Trato 7:00</t>
  </si>
  <si>
    <t>2º Trato 9:00</t>
  </si>
  <si>
    <t>6º Trato 17:00</t>
  </si>
  <si>
    <t>2º Trato 11:00</t>
  </si>
  <si>
    <t>3º Trato 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</si>
</sst>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%"/>
    <numFmt numFmtId="166" formatCode="0.0"/>
    <numFmt numFmtId="167" formatCode="&quot;R$&quot;\ #,##0.00"/>
    <numFmt numFmtId="168" formatCode="#,##0.00000"/>
    <numFmt numFmtId="169" formatCode="0.00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8"/>
      <color theme="4" tint="0.59999389629810485"/>
      <name val="Aptos Narrow"/>
      <family val="2"/>
      <scheme val="minor"/>
    </font>
    <font>
      <b/>
      <sz val="28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3" fontId="3" fillId="0" borderId="0" xfId="0" applyNumberFormat="1" applyFont="1"/>
    <xf numFmtId="9" fontId="3" fillId="0" borderId="0" xfId="0" applyNumberFormat="1" applyFon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wrapText="1"/>
    </xf>
    <xf numFmtId="164" fontId="3" fillId="4" borderId="0" xfId="0" applyNumberFormat="1" applyFont="1" applyFill="1" applyAlignment="1">
      <alignment wrapText="1"/>
    </xf>
    <xf numFmtId="164" fontId="2" fillId="4" borderId="0" xfId="0" applyNumberFormat="1" applyFont="1" applyFill="1" applyAlignment="1">
      <alignment wrapText="1"/>
    </xf>
    <xf numFmtId="0" fontId="2" fillId="4" borderId="0" xfId="0" applyFont="1" applyFill="1" applyAlignment="1">
      <alignment wrapText="1"/>
    </xf>
    <xf numFmtId="2" fontId="2" fillId="4" borderId="0" xfId="0" applyNumberFormat="1" applyFont="1" applyFill="1" applyAlignment="1">
      <alignment wrapText="1"/>
    </xf>
    <xf numFmtId="165" fontId="2" fillId="4" borderId="0" xfId="1" applyNumberFormat="1" applyFont="1" applyFill="1" applyBorder="1" applyAlignment="1">
      <alignment wrapText="1"/>
    </xf>
    <xf numFmtId="165" fontId="3" fillId="4" borderId="0" xfId="0" applyNumberFormat="1" applyFont="1" applyFill="1" applyAlignment="1">
      <alignment wrapText="1"/>
    </xf>
    <xf numFmtId="3" fontId="2" fillId="4" borderId="0" xfId="0" applyNumberFormat="1" applyFont="1" applyFill="1" applyAlignment="1">
      <alignment wrapText="1"/>
    </xf>
    <xf numFmtId="4" fontId="2" fillId="4" borderId="0" xfId="0" applyNumberFormat="1" applyFont="1" applyFill="1" applyAlignment="1">
      <alignment wrapText="1"/>
    </xf>
    <xf numFmtId="166" fontId="2" fillId="4" borderId="0" xfId="0" applyNumberFormat="1" applyFont="1" applyFill="1" applyAlignment="1">
      <alignment wrapText="1"/>
    </xf>
    <xf numFmtId="167" fontId="2" fillId="4" borderId="0" xfId="0" applyNumberFormat="1" applyFont="1" applyFill="1" applyAlignment="1">
      <alignment wrapText="1"/>
    </xf>
    <xf numFmtId="0" fontId="3" fillId="0" borderId="1" xfId="0" applyFont="1" applyBorder="1"/>
    <xf numFmtId="0" fontId="3" fillId="0" borderId="2" xfId="0" applyFont="1" applyBorder="1"/>
    <xf numFmtId="164" fontId="3" fillId="0" borderId="0" xfId="0" applyNumberFormat="1" applyFont="1" applyAlignment="1">
      <alignment wrapText="1"/>
    </xf>
    <xf numFmtId="164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2" fontId="2" fillId="0" borderId="0" xfId="0" applyNumberFormat="1" applyFont="1" applyAlignment="1">
      <alignment wrapText="1"/>
    </xf>
    <xf numFmtId="165" fontId="2" fillId="0" borderId="0" xfId="1" applyNumberFormat="1" applyFont="1" applyBorder="1" applyAlignment="1">
      <alignment wrapText="1"/>
    </xf>
    <xf numFmtId="165" fontId="3" fillId="0" borderId="0" xfId="0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4" fontId="2" fillId="0" borderId="0" xfId="0" applyNumberFormat="1" applyFont="1" applyAlignment="1">
      <alignment wrapText="1"/>
    </xf>
    <xf numFmtId="166" fontId="2" fillId="0" borderId="0" xfId="0" applyNumberFormat="1" applyFont="1" applyAlignment="1">
      <alignment wrapText="1"/>
    </xf>
    <xf numFmtId="167" fontId="2" fillId="0" borderId="0" xfId="0" applyNumberFormat="1" applyFont="1" applyAlignment="1">
      <alignment wrapText="1"/>
    </xf>
    <xf numFmtId="167" fontId="3" fillId="0" borderId="2" xfId="0" applyNumberFormat="1" applyFont="1" applyBorder="1"/>
    <xf numFmtId="0" fontId="3" fillId="4" borderId="3" xfId="0" applyFont="1" applyFill="1" applyBorder="1" applyAlignment="1">
      <alignment wrapText="1"/>
    </xf>
    <xf numFmtId="164" fontId="3" fillId="4" borderId="3" xfId="0" applyNumberFormat="1" applyFont="1" applyFill="1" applyBorder="1" applyAlignment="1">
      <alignment wrapText="1"/>
    </xf>
    <xf numFmtId="164" fontId="2" fillId="4" borderId="3" xfId="0" applyNumberFormat="1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2" fontId="2" fillId="4" borderId="3" xfId="0" applyNumberFormat="1" applyFont="1" applyFill="1" applyBorder="1" applyAlignment="1">
      <alignment wrapText="1"/>
    </xf>
    <xf numFmtId="165" fontId="2" fillId="4" borderId="3" xfId="1" applyNumberFormat="1" applyFont="1" applyFill="1" applyBorder="1" applyAlignment="1">
      <alignment wrapText="1"/>
    </xf>
    <xf numFmtId="165" fontId="3" fillId="4" borderId="3" xfId="0" applyNumberFormat="1" applyFont="1" applyFill="1" applyBorder="1" applyAlignment="1">
      <alignment wrapText="1"/>
    </xf>
    <xf numFmtId="3" fontId="2" fillId="4" borderId="3" xfId="0" applyNumberFormat="1" applyFont="1" applyFill="1" applyBorder="1" applyAlignment="1">
      <alignment wrapText="1"/>
    </xf>
    <xf numFmtId="4" fontId="2" fillId="4" borderId="3" xfId="0" applyNumberFormat="1" applyFont="1" applyFill="1" applyBorder="1" applyAlignment="1">
      <alignment wrapText="1"/>
    </xf>
    <xf numFmtId="166" fontId="2" fillId="4" borderId="3" xfId="0" applyNumberFormat="1" applyFont="1" applyFill="1" applyBorder="1" applyAlignment="1">
      <alignment wrapText="1"/>
    </xf>
    <xf numFmtId="167" fontId="2" fillId="4" borderId="3" xfId="0" applyNumberFormat="1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164" fontId="3" fillId="0" borderId="4" xfId="0" applyNumberFormat="1" applyFont="1" applyBorder="1" applyAlignment="1">
      <alignment wrapText="1"/>
    </xf>
    <xf numFmtId="164" fontId="2" fillId="0" borderId="4" xfId="0" applyNumberFormat="1" applyFont="1" applyBorder="1" applyAlignment="1">
      <alignment wrapText="1"/>
    </xf>
    <xf numFmtId="0" fontId="2" fillId="0" borderId="4" xfId="0" applyFont="1" applyBorder="1" applyAlignment="1">
      <alignment wrapText="1"/>
    </xf>
    <xf numFmtId="2" fontId="2" fillId="0" borderId="4" xfId="0" applyNumberFormat="1" applyFont="1" applyBorder="1" applyAlignment="1">
      <alignment wrapText="1"/>
    </xf>
    <xf numFmtId="165" fontId="2" fillId="0" borderId="4" xfId="1" applyNumberFormat="1" applyFont="1" applyBorder="1" applyAlignment="1">
      <alignment wrapText="1"/>
    </xf>
    <xf numFmtId="165" fontId="3" fillId="0" borderId="4" xfId="0" applyNumberFormat="1" applyFont="1" applyBorder="1" applyAlignment="1">
      <alignment wrapText="1"/>
    </xf>
    <xf numFmtId="3" fontId="2" fillId="0" borderId="4" xfId="0" applyNumberFormat="1" applyFont="1" applyBorder="1" applyAlignment="1">
      <alignment wrapText="1"/>
    </xf>
    <xf numFmtId="4" fontId="2" fillId="0" borderId="4" xfId="0" applyNumberFormat="1" applyFont="1" applyBorder="1" applyAlignment="1">
      <alignment wrapText="1"/>
    </xf>
    <xf numFmtId="166" fontId="2" fillId="0" borderId="4" xfId="0" applyNumberFormat="1" applyFont="1" applyBorder="1" applyAlignment="1">
      <alignment wrapText="1"/>
    </xf>
    <xf numFmtId="167" fontId="2" fillId="0" borderId="4" xfId="0" applyNumberFormat="1" applyFont="1" applyBorder="1" applyAlignment="1">
      <alignment wrapText="1"/>
    </xf>
    <xf numFmtId="0" fontId="3" fillId="0" borderId="3" xfId="0" applyFont="1" applyBorder="1" applyAlignment="1">
      <alignment wrapText="1"/>
    </xf>
    <xf numFmtId="164" fontId="3" fillId="0" borderId="3" xfId="0" applyNumberFormat="1" applyFont="1" applyBorder="1" applyAlignment="1">
      <alignment wrapText="1"/>
    </xf>
    <xf numFmtId="164" fontId="2" fillId="0" borderId="3" xfId="0" applyNumberFormat="1" applyFont="1" applyBorder="1" applyAlignment="1">
      <alignment wrapText="1"/>
    </xf>
    <xf numFmtId="0" fontId="2" fillId="0" borderId="3" xfId="0" applyFont="1" applyBorder="1" applyAlignment="1">
      <alignment wrapText="1"/>
    </xf>
    <xf numFmtId="2" fontId="2" fillId="0" borderId="3" xfId="0" applyNumberFormat="1" applyFont="1" applyBorder="1" applyAlignment="1">
      <alignment wrapText="1"/>
    </xf>
    <xf numFmtId="165" fontId="2" fillId="0" borderId="3" xfId="1" applyNumberFormat="1" applyFont="1" applyBorder="1" applyAlignment="1">
      <alignment wrapText="1"/>
    </xf>
    <xf numFmtId="165" fontId="3" fillId="0" borderId="3" xfId="0" applyNumberFormat="1" applyFont="1" applyBorder="1" applyAlignment="1">
      <alignment wrapText="1"/>
    </xf>
    <xf numFmtId="3" fontId="2" fillId="0" borderId="3" xfId="0" applyNumberFormat="1" applyFont="1" applyBorder="1" applyAlignment="1">
      <alignment wrapText="1"/>
    </xf>
    <xf numFmtId="4" fontId="2" fillId="0" borderId="3" xfId="0" applyNumberFormat="1" applyFont="1" applyBorder="1" applyAlignment="1">
      <alignment wrapText="1"/>
    </xf>
    <xf numFmtId="166" fontId="2" fillId="0" borderId="3" xfId="0" applyNumberFormat="1" applyFont="1" applyBorder="1" applyAlignment="1">
      <alignment wrapText="1"/>
    </xf>
    <xf numFmtId="167" fontId="2" fillId="0" borderId="3" xfId="0" applyNumberFormat="1" applyFont="1" applyBorder="1" applyAlignment="1">
      <alignment wrapText="1"/>
    </xf>
    <xf numFmtId="0" fontId="3" fillId="4" borderId="4" xfId="0" applyFont="1" applyFill="1" applyBorder="1" applyAlignment="1">
      <alignment wrapText="1"/>
    </xf>
    <xf numFmtId="164" fontId="3" fillId="4" borderId="4" xfId="0" applyNumberFormat="1" applyFont="1" applyFill="1" applyBorder="1" applyAlignment="1">
      <alignment wrapText="1"/>
    </xf>
    <xf numFmtId="164" fontId="2" fillId="4" borderId="4" xfId="0" applyNumberFormat="1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2" fontId="2" fillId="4" borderId="4" xfId="0" applyNumberFormat="1" applyFont="1" applyFill="1" applyBorder="1" applyAlignment="1">
      <alignment wrapText="1"/>
    </xf>
    <xf numFmtId="165" fontId="2" fillId="4" borderId="4" xfId="1" applyNumberFormat="1" applyFont="1" applyFill="1" applyBorder="1" applyAlignment="1">
      <alignment wrapText="1"/>
    </xf>
    <xf numFmtId="165" fontId="3" fillId="4" borderId="4" xfId="0" applyNumberFormat="1" applyFont="1" applyFill="1" applyBorder="1" applyAlignment="1">
      <alignment wrapText="1"/>
    </xf>
    <xf numFmtId="3" fontId="2" fillId="4" borderId="4" xfId="0" applyNumberFormat="1" applyFont="1" applyFill="1" applyBorder="1" applyAlignment="1">
      <alignment wrapText="1"/>
    </xf>
    <xf numFmtId="4" fontId="2" fillId="4" borderId="4" xfId="0" applyNumberFormat="1" applyFont="1" applyFill="1" applyBorder="1" applyAlignment="1">
      <alignment wrapText="1"/>
    </xf>
    <xf numFmtId="166" fontId="2" fillId="4" borderId="4" xfId="0" applyNumberFormat="1" applyFont="1" applyFill="1" applyBorder="1" applyAlignment="1">
      <alignment wrapText="1"/>
    </xf>
    <xf numFmtId="167" fontId="2" fillId="4" borderId="4" xfId="0" applyNumberFormat="1" applyFont="1" applyFill="1" applyBorder="1" applyAlignment="1">
      <alignment wrapText="1"/>
    </xf>
    <xf numFmtId="167" fontId="3" fillId="0" borderId="0" xfId="0" applyNumberFormat="1" applyFont="1"/>
    <xf numFmtId="9" fontId="3" fillId="0" borderId="0" xfId="1" applyFont="1" applyAlignment="1">
      <alignment wrapText="1"/>
    </xf>
    <xf numFmtId="2" fontId="3" fillId="0" borderId="0" xfId="0" applyNumberFormat="1" applyFont="1"/>
    <xf numFmtId="166" fontId="3" fillId="0" borderId="0" xfId="0" applyNumberFormat="1" applyFont="1"/>
    <xf numFmtId="164" fontId="3" fillId="0" borderId="0" xfId="0" applyNumberFormat="1" applyFont="1"/>
    <xf numFmtId="166" fontId="3" fillId="0" borderId="0" xfId="0" applyNumberFormat="1" applyFont="1" applyAlignment="1">
      <alignment wrapText="1"/>
    </xf>
    <xf numFmtId="168" fontId="3" fillId="0" borderId="0" xfId="0" applyNumberFormat="1" applyFont="1"/>
    <xf numFmtId="169" fontId="3" fillId="0" borderId="0" xfId="1" applyNumberFormat="1" applyFont="1"/>
    <xf numFmtId="0" fontId="5" fillId="0" borderId="0" xfId="0" applyFont="1"/>
    <xf numFmtId="0" fontId="6" fillId="5" borderId="6" xfId="0" applyFont="1" applyFill="1" applyBorder="1"/>
    <xf numFmtId="0" fontId="6" fillId="5" borderId="7" xfId="0" applyFont="1" applyFill="1" applyBorder="1"/>
    <xf numFmtId="0" fontId="6" fillId="5" borderId="8" xfId="0" applyFont="1" applyFill="1" applyBorder="1"/>
    <xf numFmtId="1" fontId="2" fillId="4" borderId="0" xfId="0" applyNumberFormat="1" applyFont="1" applyFill="1" applyAlignment="1">
      <alignment wrapText="1"/>
    </xf>
    <xf numFmtId="1" fontId="2" fillId="0" borderId="0" xfId="0" applyNumberFormat="1" applyFont="1" applyAlignment="1">
      <alignment wrapText="1"/>
    </xf>
    <xf numFmtId="1" fontId="2" fillId="4" borderId="3" xfId="0" applyNumberFormat="1" applyFont="1" applyFill="1" applyBorder="1" applyAlignment="1">
      <alignment wrapText="1"/>
    </xf>
    <xf numFmtId="1" fontId="2" fillId="0" borderId="4" xfId="0" applyNumberFormat="1" applyFont="1" applyBorder="1" applyAlignment="1">
      <alignment wrapText="1"/>
    </xf>
    <xf numFmtId="1" fontId="2" fillId="0" borderId="3" xfId="0" applyNumberFormat="1" applyFont="1" applyBorder="1" applyAlignment="1">
      <alignment wrapText="1"/>
    </xf>
    <xf numFmtId="1" fontId="2" fillId="4" borderId="4" xfId="0" applyNumberFormat="1" applyFont="1" applyFill="1" applyBorder="1" applyAlignment="1">
      <alignment wrapText="1"/>
    </xf>
    <xf numFmtId="0" fontId="0" fillId="5" borderId="7" xfId="0" applyFill="1" applyBorder="1"/>
    <xf numFmtId="0" fontId="3" fillId="0" borderId="2" xfId="0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wrapText="1"/>
    </xf>
    <xf numFmtId="0" fontId="2" fillId="0" borderId="2" xfId="0" applyFont="1" applyBorder="1"/>
    <xf numFmtId="9" fontId="3" fillId="0" borderId="2" xfId="0" applyNumberFormat="1" applyFont="1" applyBorder="1"/>
    <xf numFmtId="3" fontId="3" fillId="0" borderId="2" xfId="0" applyNumberFormat="1" applyFont="1" applyBorder="1" applyAlignment="1">
      <alignment wrapText="1"/>
    </xf>
    <xf numFmtId="0" fontId="7" fillId="2" borderId="0" xfId="0" applyFont="1" applyFill="1"/>
    <xf numFmtId="0" fontId="8" fillId="2" borderId="0" xfId="0" applyFont="1" applyFill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65" fontId="3" fillId="0" borderId="0" xfId="1" applyNumberFormat="1" applyFont="1"/>
    <xf numFmtId="0" fontId="2" fillId="0" borderId="0" xfId="0" applyFont="1" applyAlignment="1">
      <alignment horizontal="center" vertical="center"/>
    </xf>
    <xf numFmtId="4" fontId="5" fillId="0" borderId="5" xfId="0" applyNumberFormat="1" applyFont="1" applyBorder="1" applyProtection="1">
      <protection locked="0"/>
    </xf>
    <xf numFmtId="3" fontId="5" fillId="0" borderId="5" xfId="0" applyNumberFormat="1" applyFont="1" applyBorder="1" applyProtection="1">
      <protection locked="0"/>
    </xf>
    <xf numFmtId="166" fontId="5" fillId="0" borderId="5" xfId="0" applyNumberFormat="1" applyFont="1" applyBorder="1" applyProtection="1">
      <protection locked="0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0</xdr:row>
      <xdr:rowOff>400049</xdr:rowOff>
    </xdr:from>
    <xdr:to>
      <xdr:col>4</xdr:col>
      <xdr:colOff>219075</xdr:colOff>
      <xdr:row>3</xdr:row>
      <xdr:rowOff>142875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4FEF2E4A-CD34-DAF1-B77A-2A8B4A318F39}"/>
            </a:ext>
          </a:extLst>
        </xdr:cNvPr>
        <xdr:cNvGrpSpPr/>
      </xdr:nvGrpSpPr>
      <xdr:grpSpPr>
        <a:xfrm>
          <a:off x="2190750" y="400049"/>
          <a:ext cx="1228725" cy="695326"/>
          <a:chOff x="6248400" y="879026"/>
          <a:chExt cx="1228725" cy="778020"/>
        </a:xfrm>
      </xdr:grpSpPr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3B6E3649-CB06-3954-087B-45C813F476BF}"/>
              </a:ext>
            </a:extLst>
          </xdr:cNvPr>
          <xdr:cNvSpPr/>
        </xdr:nvSpPr>
        <xdr:spPr>
          <a:xfrm>
            <a:off x="6248400" y="879026"/>
            <a:ext cx="1228725" cy="61033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pt-BR" sz="1200" b="0" i="0" u="none" strike="noStrike">
                <a:solidFill>
                  <a:srgbClr val="000000"/>
                </a:solidFill>
                <a:latin typeface="Aptos Narrow"/>
              </a:rPr>
              <a:t>INSIRA</a:t>
            </a:r>
            <a:r>
              <a:rPr lang="pt-BR" sz="1200" b="0" i="0" u="none" strike="noStrike" baseline="0">
                <a:solidFill>
                  <a:srgbClr val="000000"/>
                </a:solidFill>
                <a:latin typeface="Aptos Narrow"/>
              </a:rPr>
              <a:t> OS DADOS AQUI</a:t>
            </a:r>
            <a:endParaRPr lang="pt-BR" sz="1200" b="0" i="0" u="none" strike="noStrike">
              <a:solidFill>
                <a:srgbClr val="000000"/>
              </a:solidFill>
              <a:latin typeface="Aptos Narrow"/>
            </a:endParaRPr>
          </a:p>
        </xdr:txBody>
      </xdr:sp>
      <xdr:sp macro="" textlink="">
        <xdr:nvSpPr>
          <xdr:cNvPr id="12" name="Seta: para a Direita 11">
            <a:extLst>
              <a:ext uri="{FF2B5EF4-FFF2-40B4-BE49-F238E27FC236}">
                <a16:creationId xmlns:a16="http://schemas.microsoft.com/office/drawing/2014/main" id="{11EE0657-A804-8A0E-BC41-7876FF7A46D8}"/>
              </a:ext>
            </a:extLst>
          </xdr:cNvPr>
          <xdr:cNvSpPr/>
        </xdr:nvSpPr>
        <xdr:spPr>
          <a:xfrm rot="5400000">
            <a:off x="6779575" y="1388121"/>
            <a:ext cx="233050" cy="304800"/>
          </a:xfrm>
          <a:prstGeom prst="rightArrow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pt-BR" sz="2800" b="0" i="0" u="none" strike="noStrike">
              <a:solidFill>
                <a:srgbClr val="000000"/>
              </a:solidFill>
              <a:latin typeface="Aptos Narrow"/>
            </a:endParaRPr>
          </a:p>
        </xdr:txBody>
      </xdr:sp>
    </xdr:grpSp>
    <xdr:clientData/>
  </xdr:twoCellAnchor>
  <xdr:twoCellAnchor>
    <xdr:from>
      <xdr:col>0</xdr:col>
      <xdr:colOff>47625</xdr:colOff>
      <xdr:row>8</xdr:row>
      <xdr:rowOff>9523</xdr:rowOff>
    </xdr:from>
    <xdr:to>
      <xdr:col>10</xdr:col>
      <xdr:colOff>419101</xdr:colOff>
      <xdr:row>17</xdr:row>
      <xdr:rowOff>161924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A6DE002C-55EC-51A7-A75B-1E1B43D9B1EA}"/>
            </a:ext>
          </a:extLst>
        </xdr:cNvPr>
        <xdr:cNvGrpSpPr/>
      </xdr:nvGrpSpPr>
      <xdr:grpSpPr>
        <a:xfrm>
          <a:off x="47625" y="2095498"/>
          <a:ext cx="8372476" cy="1866901"/>
          <a:chOff x="47625" y="2095498"/>
          <a:chExt cx="8372476" cy="1866901"/>
        </a:xfrm>
      </xdr:grpSpPr>
      <xdr:sp macro="" textlink="">
        <xdr:nvSpPr>
          <xdr:cNvPr id="2" name="Retângulo: Cantos Arredondados 1">
            <a:extLst>
              <a:ext uri="{FF2B5EF4-FFF2-40B4-BE49-F238E27FC236}">
                <a16:creationId xmlns:a16="http://schemas.microsoft.com/office/drawing/2014/main" id="{F8760A9D-8CAF-645C-0C5A-E6CA7F2E86D3}"/>
              </a:ext>
            </a:extLst>
          </xdr:cNvPr>
          <xdr:cNvSpPr/>
        </xdr:nvSpPr>
        <xdr:spPr>
          <a:xfrm>
            <a:off x="47625" y="2095498"/>
            <a:ext cx="8372476" cy="1866901"/>
          </a:xfrm>
          <a:prstGeom prst="roundRect">
            <a:avLst/>
          </a:prstGeom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Tilápia!AB3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13192EF9-974D-209C-8CA5-816C4FAAE791}"/>
              </a:ext>
            </a:extLst>
          </xdr:cNvPr>
          <xdr:cNvSpPr/>
        </xdr:nvSpPr>
        <xdr:spPr>
          <a:xfrm>
            <a:off x="1228724" y="2143125"/>
            <a:ext cx="6219826" cy="61912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fld id="{E30A0094-B5D5-411F-85A4-AB6F8E579F58}" type="TxLink">
              <a:rPr lang="en-US" sz="3200" b="1" i="0" u="none" strike="noStrike">
                <a:solidFill>
                  <a:srgbClr val="000000"/>
                </a:solidFill>
                <a:latin typeface="Aptos Narrow"/>
              </a:rPr>
              <a:pPr algn="l"/>
              <a:t>163 gramas de ração por trato</a:t>
            </a:fld>
            <a:endParaRPr lang="pt-BR" sz="5400" b="1"/>
          </a:p>
        </xdr:txBody>
      </xdr:sp>
      <xdr:sp macro="" textlink="Tilápia!AC3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AD86FCC8-32F3-4BD2-886E-7933589BCD34}"/>
              </a:ext>
            </a:extLst>
          </xdr:cNvPr>
          <xdr:cNvSpPr/>
        </xdr:nvSpPr>
        <xdr:spPr>
          <a:xfrm>
            <a:off x="1247774" y="2743200"/>
            <a:ext cx="6120000" cy="60960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fld id="{24995266-6416-4238-8E8C-A2717140BBEE}" type="TxLink">
              <a:rPr lang="en-US" sz="3200" b="1" i="0" u="none" strike="noStrike">
                <a:solidFill>
                  <a:srgbClr val="000000"/>
                </a:solidFill>
                <a:latin typeface="Aptos Narrow"/>
              </a:rPr>
              <a:pPr algn="l"/>
              <a:t>6 vezes ao dia</a:t>
            </a:fld>
            <a:endParaRPr lang="pt-BR" sz="9600" b="1"/>
          </a:p>
        </xdr:txBody>
      </xdr:sp>
      <xdr:sp macro="" textlink="Tilápia!AD2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533AD7AB-D6F6-5927-A241-1BB982BD857E}"/>
              </a:ext>
            </a:extLst>
          </xdr:cNvPr>
          <xdr:cNvSpPr/>
        </xdr:nvSpPr>
        <xdr:spPr>
          <a:xfrm>
            <a:off x="1209674" y="3305175"/>
            <a:ext cx="6120000" cy="64770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fld id="{BEC76810-680E-456E-8ED1-5987F2F21585}" type="TxLink">
              <a:rPr lang="en-US" sz="3200" b="1" i="0" u="none" strike="noStrike">
                <a:solidFill>
                  <a:srgbClr val="000000"/>
                </a:solidFill>
                <a:latin typeface="Aptos Narrow"/>
              </a:rPr>
              <a:pPr algn="l"/>
              <a:t>Ração 40% 1,7 a 2 mm</a:t>
            </a:fld>
            <a:endParaRPr lang="pt-BR" sz="6000" b="1" i="0" u="none" strike="noStrike">
              <a:solidFill>
                <a:srgbClr val="000000"/>
              </a:solidFill>
              <a:latin typeface="Aptos Narrow"/>
            </a:endParaRPr>
          </a:p>
        </xdr:txBody>
      </xdr:sp>
      <xdr:pic>
        <xdr:nvPicPr>
          <xdr:cNvPr id="15" name="Imagem 14">
            <a:extLst>
              <a:ext uri="{FF2B5EF4-FFF2-40B4-BE49-F238E27FC236}">
                <a16:creationId xmlns:a16="http://schemas.microsoft.com/office/drawing/2014/main" id="{0B0F17DB-7541-4954-9DA3-351F74459C2B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 cstate="print">
            <a:grayscl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artisticPhotocopy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2567" t="2647" r="3303" b="2989"/>
          <a:stretch>
            <a:fillRect/>
          </a:stretch>
        </xdr:blipFill>
        <xdr:spPr bwMode="auto">
          <a:xfrm>
            <a:off x="56283" y="2466975"/>
            <a:ext cx="1172442" cy="1175437"/>
          </a:xfrm>
          <a:prstGeom prst="ellipse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2800" b="0" i="0" u="none" strike="noStrike">
            <a:solidFill>
              <a:srgbClr val="000000"/>
            </a:solidFill>
            <a:latin typeface="Aptos Narrow"/>
          </a:defRPr>
        </a:defPPr>
      </a:lstStyle>
      <a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63FA8-0477-408A-BAAF-77C948976105}">
  <dimension ref="A1:E7"/>
  <sheetViews>
    <sheetView showGridLines="0" tabSelected="1" zoomScaleNormal="100" workbookViewId="0">
      <selection activeCell="G6" sqref="G6"/>
    </sheetView>
  </sheetViews>
  <sheetFormatPr defaultColWidth="12" defaultRowHeight="15" x14ac:dyDescent="0.25"/>
  <sheetData>
    <row r="1" spans="1:5" s="102" customFormat="1" ht="36" x14ac:dyDescent="0.55000000000000004">
      <c r="A1" s="101" t="s">
        <v>33</v>
      </c>
    </row>
    <row r="2" spans="1:5" ht="24" customHeight="1" x14ac:dyDescent="0.25"/>
    <row r="4" spans="1:5" ht="15.75" thickBot="1" x14ac:dyDescent="0.3"/>
    <row r="5" spans="1:5" s="85" customFormat="1" ht="19.5" thickBot="1" x14ac:dyDescent="0.35">
      <c r="A5" s="86" t="s">
        <v>35</v>
      </c>
      <c r="B5" s="87"/>
      <c r="C5" s="88"/>
      <c r="D5" s="107">
        <v>10</v>
      </c>
      <c r="E5" t="s">
        <v>50</v>
      </c>
    </row>
    <row r="6" spans="1:5" s="85" customFormat="1" ht="19.5" thickBot="1" x14ac:dyDescent="0.35">
      <c r="A6" s="86" t="s">
        <v>34</v>
      </c>
      <c r="B6" s="87"/>
      <c r="C6" s="88"/>
      <c r="D6" s="108">
        <v>1000</v>
      </c>
      <c r="E6" t="s">
        <v>42</v>
      </c>
    </row>
    <row r="7" spans="1:5" ht="19.5" thickBot="1" x14ac:dyDescent="0.35">
      <c r="A7" s="86" t="s">
        <v>40</v>
      </c>
      <c r="B7" s="95"/>
      <c r="C7" s="95"/>
      <c r="D7" s="109">
        <v>26</v>
      </c>
      <c r="E7" t="s">
        <v>43</v>
      </c>
    </row>
  </sheetData>
  <sheetProtection algorithmName="SHA-512" hashValue="RM7GMLcVsxVnCyP1h4igSVPo6tNTWScFjuG6De4iAEaluHPQ7GZoJJmz6YTYo98GxxYQTI7X6ym87J4ZLJ6mbg==" saltValue="6P7+qCXSv+DXr/nXoJ/Uiw==" spinCount="100000" sheet="1" objects="1" scenarios="1"/>
  <protectedRanges>
    <protectedRange sqref="D5:D7" name="Intervalo1"/>
  </protectedRange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7537-8879-42C6-AF76-5B8BBF1EF5AD}">
  <dimension ref="A1:AD39"/>
  <sheetViews>
    <sheetView showGridLines="0" zoomScaleNormal="100" workbookViewId="0">
      <selection activeCell="H6" sqref="H6"/>
    </sheetView>
  </sheetViews>
  <sheetFormatPr defaultColWidth="10.28515625" defaultRowHeight="15.75" x14ac:dyDescent="0.25"/>
  <cols>
    <col min="1" max="1" width="16" style="4" customWidth="1"/>
    <col min="2" max="2" width="13.140625" style="4" customWidth="1"/>
    <col min="3" max="3" width="8.85546875" style="4" customWidth="1"/>
    <col min="4" max="4" width="11.5703125" style="4" customWidth="1"/>
    <col min="5" max="5" width="11.42578125" style="4" customWidth="1"/>
    <col min="6" max="13" width="10.28515625" style="4"/>
    <col min="14" max="14" width="12.42578125" style="4" customWidth="1"/>
    <col min="15" max="15" width="13.7109375" style="4" customWidth="1"/>
    <col min="16" max="17" width="10.28515625" style="4"/>
    <col min="18" max="18" width="13.140625" style="4" customWidth="1"/>
    <col min="19" max="19" width="34" style="4" customWidth="1"/>
    <col min="20" max="20" width="13" style="2" customWidth="1"/>
    <col min="21" max="21" width="14" style="2" customWidth="1"/>
    <col min="22" max="22" width="11" style="2" bestFit="1" customWidth="1"/>
    <col min="23" max="24" width="10.28515625" style="2"/>
    <col min="25" max="25" width="13.85546875" style="2" customWidth="1"/>
    <col min="26" max="26" width="10.28515625" style="2"/>
    <col min="27" max="27" width="13.140625" style="2" customWidth="1"/>
    <col min="28" max="28" width="17.42578125" style="2" customWidth="1"/>
    <col min="29" max="29" width="11.85546875" style="2" customWidth="1"/>
    <col min="30" max="30" width="24.85546875" style="2" customWidth="1"/>
    <col min="31" max="16384" width="10.28515625" style="2"/>
  </cols>
  <sheetData>
    <row r="1" spans="1:30" ht="31.5" x14ac:dyDescent="0.25">
      <c r="A1" s="106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"/>
      <c r="R1" s="1"/>
      <c r="S1" s="1"/>
      <c r="T1" s="2" t="s">
        <v>1</v>
      </c>
      <c r="V1" s="3" t="s">
        <v>2</v>
      </c>
      <c r="Z1" s="104" t="s">
        <v>41</v>
      </c>
      <c r="AA1" s="103" t="s">
        <v>36</v>
      </c>
      <c r="AB1" s="103" t="s">
        <v>37</v>
      </c>
      <c r="AC1" s="103" t="s">
        <v>38</v>
      </c>
      <c r="AD1" s="103" t="s">
        <v>3</v>
      </c>
    </row>
    <row r="2" spans="1:30" x14ac:dyDescent="0.25">
      <c r="U2" s="5">
        <v>1000</v>
      </c>
      <c r="V2" s="6">
        <f>VLOOKUP(Z2,AB6:AC17,2,TRUE)</f>
        <v>1</v>
      </c>
      <c r="Z2" s="21">
        <f>Dashboard!D7</f>
        <v>26</v>
      </c>
      <c r="AA2" s="100">
        <f>VLOOKUP(Dashboard!D5,Tilápia!$B$4:$T$36,17,TRUE)</f>
        <v>162.91666666666669</v>
      </c>
      <c r="AB2" s="100">
        <f>AA2*Dashboard!D6/1000</f>
        <v>162.91666666666669</v>
      </c>
      <c r="AC2" s="97">
        <f>VLOOKUP(Dashboard!D5,Tilápia!$B$4:$T$36,16,TRUE)</f>
        <v>6</v>
      </c>
      <c r="AD2" s="97" t="str">
        <f>IF(AND(Dashboard!D5&lt;&gt;"",Dashboard!D6&lt;&gt;"",Dashboard!D7&lt;&gt;""),IFERROR(VLOOKUP(Dashboard!D5,Tilápia!$B$4:$T$36,18,TRUE),""),"")</f>
        <v>Ração 40% 1,7 a 2 mm</v>
      </c>
    </row>
    <row r="3" spans="1:30" ht="35.25" customHeight="1" x14ac:dyDescent="0.25">
      <c r="A3" s="7" t="s">
        <v>3</v>
      </c>
      <c r="B3" s="7" t="s">
        <v>4</v>
      </c>
      <c r="C3" s="7" t="s">
        <v>5</v>
      </c>
      <c r="D3" s="8" t="s">
        <v>6</v>
      </c>
      <c r="E3" s="8" t="s">
        <v>7</v>
      </c>
      <c r="F3" s="7" t="s">
        <v>8</v>
      </c>
      <c r="G3" s="7" t="s">
        <v>9</v>
      </c>
      <c r="H3" s="7" t="s">
        <v>10</v>
      </c>
      <c r="I3" s="7" t="s">
        <v>11</v>
      </c>
      <c r="J3" s="7" t="s">
        <v>12</v>
      </c>
      <c r="K3" s="8" t="s">
        <v>13</v>
      </c>
      <c r="L3" s="7" t="s">
        <v>14</v>
      </c>
      <c r="M3" s="8" t="s">
        <v>15</v>
      </c>
      <c r="N3" s="7" t="s">
        <v>16</v>
      </c>
      <c r="O3" s="7" t="s">
        <v>17</v>
      </c>
      <c r="P3" s="7" t="s">
        <v>18</v>
      </c>
      <c r="Q3" s="7" t="s">
        <v>38</v>
      </c>
      <c r="R3" s="7" t="s">
        <v>39</v>
      </c>
      <c r="S3" s="7" t="s">
        <v>44</v>
      </c>
      <c r="T3" s="7" t="s">
        <v>19</v>
      </c>
      <c r="AB3" s="96" t="str">
        <f>IFERROR(_xlfn.CONCAT(TEXT(AB2,"#.##0")," gramas de ração por trato"),"Dados incorretos")</f>
        <v>163 gramas de ração por trato</v>
      </c>
      <c r="AC3" s="96" t="str">
        <f>IF(AND(Dashboard!D5&lt;&gt;"",Dashboard!D6&lt;&gt;"",Dashboard!D7&lt;&gt;""),IFERROR(_xlfn.CONCAT(AC2," vezes ao dia"),""),"Preencha as células acima")</f>
        <v>6 vezes ao dia</v>
      </c>
      <c r="AD3" s="21"/>
    </row>
    <row r="4" spans="1:30" x14ac:dyDescent="0.25">
      <c r="A4" s="9" t="s">
        <v>20</v>
      </c>
      <c r="B4" s="10">
        <v>0.5</v>
      </c>
      <c r="C4" s="10">
        <v>1.5</v>
      </c>
      <c r="D4" s="11">
        <f>B4*L4/1000</f>
        <v>0.5</v>
      </c>
      <c r="E4" s="11">
        <f>C4*M4/1000*V$2</f>
        <v>1.5</v>
      </c>
      <c r="F4" s="12">
        <v>1</v>
      </c>
      <c r="G4" s="12">
        <v>7</v>
      </c>
      <c r="H4" s="11">
        <f>E4-D4</f>
        <v>1</v>
      </c>
      <c r="I4" s="13">
        <f>H4/7</f>
        <v>0.14285714285714285</v>
      </c>
      <c r="J4" s="14">
        <f>K4</f>
        <v>0.15</v>
      </c>
      <c r="K4" s="15">
        <v>0.15</v>
      </c>
      <c r="L4" s="16">
        <f>U2</f>
        <v>1000</v>
      </c>
      <c r="M4" s="16">
        <f>L5</f>
        <v>1000</v>
      </c>
      <c r="N4" s="17">
        <f>(AVERAGE(D4:E4)*L4*J4/1000)</f>
        <v>0.15</v>
      </c>
      <c r="O4" s="18">
        <f>N4*7</f>
        <v>1.05</v>
      </c>
      <c r="P4" s="13">
        <f>O4/(E4-D4)</f>
        <v>1.05</v>
      </c>
      <c r="Q4" s="89">
        <v>6</v>
      </c>
      <c r="R4" s="16">
        <f>N4/Q4*1000</f>
        <v>24.999999999999996</v>
      </c>
      <c r="S4" s="16" t="s">
        <v>45</v>
      </c>
      <c r="T4" s="19">
        <f>O4*$Z$11</f>
        <v>6.4680000000000009</v>
      </c>
      <c r="V4" s="83"/>
    </row>
    <row r="5" spans="1:30" x14ac:dyDescent="0.25">
      <c r="A5" s="4" t="s">
        <v>20</v>
      </c>
      <c r="B5" s="22">
        <v>1.5</v>
      </c>
      <c r="C5" s="22">
        <v>3</v>
      </c>
      <c r="D5" s="23">
        <f>E4</f>
        <v>1.5</v>
      </c>
      <c r="E5" s="23">
        <f t="shared" ref="E5:E36" si="0">C5*M5/1000*V$2</f>
        <v>3</v>
      </c>
      <c r="F5" s="24">
        <v>2</v>
      </c>
      <c r="G5" s="24">
        <v>14</v>
      </c>
      <c r="H5" s="23">
        <f t="shared" ref="H5:H36" si="1">E5-D5</f>
        <v>1.5</v>
      </c>
      <c r="I5" s="25">
        <f t="shared" ref="I5:I36" si="2">H5/7</f>
        <v>0.21428571428571427</v>
      </c>
      <c r="J5" s="26">
        <f t="shared" ref="J5:J36" si="3">K5</f>
        <v>0.13</v>
      </c>
      <c r="K5" s="27">
        <v>0.13</v>
      </c>
      <c r="L5" s="28">
        <f>L4</f>
        <v>1000</v>
      </c>
      <c r="M5" s="28">
        <f t="shared" ref="M5:M35" si="4">L6</f>
        <v>1000</v>
      </c>
      <c r="N5" s="29">
        <f t="shared" ref="N5:N36" si="5">(AVERAGE(D5:E5)*L5*J5/1000)</f>
        <v>0.29249999999999998</v>
      </c>
      <c r="O5" s="30">
        <f t="shared" ref="O5:O36" si="6">N5*7</f>
        <v>2.0474999999999999</v>
      </c>
      <c r="P5" s="25">
        <f t="shared" ref="P5:P34" si="7">O5/(E5-D5)</f>
        <v>1.365</v>
      </c>
      <c r="Q5" s="90">
        <v>6</v>
      </c>
      <c r="R5" s="28">
        <f t="shared" ref="R5:R36" si="8">N5/Q5*1000</f>
        <v>48.749999999999993</v>
      </c>
      <c r="S5" s="28" t="s">
        <v>45</v>
      </c>
      <c r="T5" s="31">
        <f>O5*$Z$11</f>
        <v>12.612599999999999</v>
      </c>
      <c r="V5" s="84"/>
      <c r="AB5" s="98" t="s">
        <v>41</v>
      </c>
      <c r="AC5" s="98" t="s">
        <v>36</v>
      </c>
    </row>
    <row r="6" spans="1:30" ht="16.5" thickBot="1" x14ac:dyDescent="0.3">
      <c r="A6" s="33" t="s">
        <v>20</v>
      </c>
      <c r="B6" s="34">
        <v>3</v>
      </c>
      <c r="C6" s="34">
        <v>5</v>
      </c>
      <c r="D6" s="35">
        <f t="shared" ref="D6:D36" si="9">E5</f>
        <v>3</v>
      </c>
      <c r="E6" s="35">
        <f t="shared" si="0"/>
        <v>5</v>
      </c>
      <c r="F6" s="36">
        <v>3</v>
      </c>
      <c r="G6" s="36">
        <v>21</v>
      </c>
      <c r="H6" s="35">
        <f t="shared" si="1"/>
        <v>2</v>
      </c>
      <c r="I6" s="37">
        <f t="shared" si="2"/>
        <v>0.2857142857142857</v>
      </c>
      <c r="J6" s="38">
        <f t="shared" si="3"/>
        <v>0.11</v>
      </c>
      <c r="K6" s="39">
        <v>0.11</v>
      </c>
      <c r="L6" s="40">
        <f t="shared" ref="L6:L36" si="10">L5</f>
        <v>1000</v>
      </c>
      <c r="M6" s="40">
        <f t="shared" si="4"/>
        <v>1000</v>
      </c>
      <c r="N6" s="41">
        <f t="shared" si="5"/>
        <v>0.44</v>
      </c>
      <c r="O6" s="42">
        <f t="shared" si="6"/>
        <v>3.08</v>
      </c>
      <c r="P6" s="37">
        <f t="shared" si="7"/>
        <v>1.54</v>
      </c>
      <c r="Q6" s="91">
        <v>6</v>
      </c>
      <c r="R6" s="40">
        <f t="shared" si="8"/>
        <v>73.333333333333329</v>
      </c>
      <c r="S6" s="40" t="s">
        <v>45</v>
      </c>
      <c r="T6" s="43">
        <f>O6*$Z$11</f>
        <v>18.972799999999999</v>
      </c>
      <c r="AB6" s="21">
        <v>21</v>
      </c>
      <c r="AC6" s="99">
        <v>0.8</v>
      </c>
    </row>
    <row r="7" spans="1:30" ht="16.5" thickTop="1" x14ac:dyDescent="0.25">
      <c r="A7" s="4" t="s">
        <v>25</v>
      </c>
      <c r="B7" s="22">
        <v>5</v>
      </c>
      <c r="C7" s="22">
        <v>9</v>
      </c>
      <c r="D7" s="23">
        <f t="shared" si="9"/>
        <v>5</v>
      </c>
      <c r="E7" s="23">
        <f t="shared" si="0"/>
        <v>9</v>
      </c>
      <c r="F7" s="24">
        <v>4</v>
      </c>
      <c r="G7" s="24">
        <v>28</v>
      </c>
      <c r="H7" s="23">
        <f t="shared" si="1"/>
        <v>4</v>
      </c>
      <c r="I7" s="25">
        <f t="shared" si="2"/>
        <v>0.5714285714285714</v>
      </c>
      <c r="J7" s="26">
        <f t="shared" si="3"/>
        <v>0.09</v>
      </c>
      <c r="K7" s="27">
        <v>0.09</v>
      </c>
      <c r="L7" s="28">
        <f t="shared" si="10"/>
        <v>1000</v>
      </c>
      <c r="M7" s="28">
        <f t="shared" si="4"/>
        <v>1000</v>
      </c>
      <c r="N7" s="29">
        <f t="shared" si="5"/>
        <v>0.63</v>
      </c>
      <c r="O7" s="30">
        <f t="shared" si="6"/>
        <v>4.41</v>
      </c>
      <c r="P7" s="25">
        <f t="shared" si="7"/>
        <v>1.1025</v>
      </c>
      <c r="Q7" s="90">
        <v>6</v>
      </c>
      <c r="R7" s="28">
        <f t="shared" si="8"/>
        <v>105</v>
      </c>
      <c r="S7" s="28" t="s">
        <v>46</v>
      </c>
      <c r="T7" s="31">
        <f>O7*$Z$12</f>
        <v>15.3468</v>
      </c>
      <c r="AB7" s="21">
        <v>22</v>
      </c>
      <c r="AC7" s="99">
        <v>0.8</v>
      </c>
    </row>
    <row r="8" spans="1:30" x14ac:dyDescent="0.25">
      <c r="A8" s="9" t="s">
        <v>25</v>
      </c>
      <c r="B8" s="10">
        <v>9</v>
      </c>
      <c r="C8" s="10">
        <v>14</v>
      </c>
      <c r="D8" s="11">
        <f t="shared" si="9"/>
        <v>9</v>
      </c>
      <c r="E8" s="11">
        <f t="shared" si="0"/>
        <v>14</v>
      </c>
      <c r="F8" s="12">
        <v>5</v>
      </c>
      <c r="G8" s="12">
        <v>35</v>
      </c>
      <c r="H8" s="11">
        <f t="shared" si="1"/>
        <v>5</v>
      </c>
      <c r="I8" s="13">
        <f t="shared" si="2"/>
        <v>0.7142857142857143</v>
      </c>
      <c r="J8" s="14">
        <f t="shared" si="3"/>
        <v>8.5000000000000006E-2</v>
      </c>
      <c r="K8" s="15">
        <v>8.5000000000000006E-2</v>
      </c>
      <c r="L8" s="16">
        <f t="shared" si="10"/>
        <v>1000</v>
      </c>
      <c r="M8" s="16">
        <f t="shared" si="4"/>
        <v>1000</v>
      </c>
      <c r="N8" s="17">
        <f t="shared" si="5"/>
        <v>0.97750000000000015</v>
      </c>
      <c r="O8" s="18">
        <f t="shared" si="6"/>
        <v>6.8425000000000011</v>
      </c>
      <c r="P8" s="13">
        <f t="shared" si="7"/>
        <v>1.3685000000000003</v>
      </c>
      <c r="Q8" s="89">
        <v>6</v>
      </c>
      <c r="R8" s="16">
        <f t="shared" si="8"/>
        <v>162.91666666666669</v>
      </c>
      <c r="S8" s="16" t="s">
        <v>46</v>
      </c>
      <c r="T8" s="19">
        <f>O8*$Z$12</f>
        <v>23.811900000000005</v>
      </c>
      <c r="AB8" s="21">
        <v>23</v>
      </c>
      <c r="AC8" s="99">
        <v>0.85</v>
      </c>
    </row>
    <row r="9" spans="1:30" x14ac:dyDescent="0.25">
      <c r="A9" s="4" t="s">
        <v>25</v>
      </c>
      <c r="B9" s="22">
        <v>14</v>
      </c>
      <c r="C9" s="22">
        <v>21</v>
      </c>
      <c r="D9" s="23">
        <f t="shared" si="9"/>
        <v>14</v>
      </c>
      <c r="E9" s="23">
        <f t="shared" si="0"/>
        <v>21</v>
      </c>
      <c r="F9" s="24">
        <v>6</v>
      </c>
      <c r="G9" s="24">
        <v>42</v>
      </c>
      <c r="H9" s="23">
        <f t="shared" si="1"/>
        <v>7</v>
      </c>
      <c r="I9" s="25">
        <f t="shared" si="2"/>
        <v>1</v>
      </c>
      <c r="J9" s="26">
        <f t="shared" si="3"/>
        <v>7.0000000000000007E-2</v>
      </c>
      <c r="K9" s="27">
        <v>7.0000000000000007E-2</v>
      </c>
      <c r="L9" s="28">
        <f t="shared" si="10"/>
        <v>1000</v>
      </c>
      <c r="M9" s="28">
        <f t="shared" si="4"/>
        <v>1000</v>
      </c>
      <c r="N9" s="29">
        <f t="shared" si="5"/>
        <v>1.2250000000000003</v>
      </c>
      <c r="O9" s="30">
        <f t="shared" si="6"/>
        <v>8.5750000000000028</v>
      </c>
      <c r="P9" s="25">
        <f t="shared" si="7"/>
        <v>1.2250000000000003</v>
      </c>
      <c r="Q9" s="90">
        <v>6</v>
      </c>
      <c r="R9" s="28">
        <f t="shared" si="8"/>
        <v>204.16666666666671</v>
      </c>
      <c r="S9" s="28" t="s">
        <v>46</v>
      </c>
      <c r="T9" s="31">
        <f>O9*$Z$12</f>
        <v>29.841000000000008</v>
      </c>
      <c r="Y9" s="20" t="s">
        <v>21</v>
      </c>
      <c r="Z9" s="21" t="s">
        <v>22</v>
      </c>
      <c r="AB9" s="21">
        <v>24</v>
      </c>
      <c r="AC9" s="99">
        <v>0.85</v>
      </c>
    </row>
    <row r="10" spans="1:30" ht="16.5" thickBot="1" x14ac:dyDescent="0.3">
      <c r="A10" s="9" t="s">
        <v>25</v>
      </c>
      <c r="B10" s="10">
        <v>21</v>
      </c>
      <c r="C10" s="10">
        <v>31</v>
      </c>
      <c r="D10" s="11">
        <f t="shared" si="9"/>
        <v>21</v>
      </c>
      <c r="E10" s="11">
        <f t="shared" si="0"/>
        <v>31</v>
      </c>
      <c r="F10" s="12">
        <v>7</v>
      </c>
      <c r="G10" s="12">
        <v>49</v>
      </c>
      <c r="H10" s="11">
        <f t="shared" si="1"/>
        <v>10</v>
      </c>
      <c r="I10" s="13">
        <f t="shared" si="2"/>
        <v>1.4285714285714286</v>
      </c>
      <c r="J10" s="14">
        <f t="shared" si="3"/>
        <v>6.8000000000000005E-2</v>
      </c>
      <c r="K10" s="15">
        <v>6.8000000000000005E-2</v>
      </c>
      <c r="L10" s="16">
        <f t="shared" si="10"/>
        <v>1000</v>
      </c>
      <c r="M10" s="16">
        <f t="shared" si="4"/>
        <v>1000</v>
      </c>
      <c r="N10" s="17">
        <f t="shared" si="5"/>
        <v>1.7680000000000002</v>
      </c>
      <c r="O10" s="18">
        <f t="shared" si="6"/>
        <v>12.376000000000001</v>
      </c>
      <c r="P10" s="13">
        <f t="shared" si="7"/>
        <v>1.2376</v>
      </c>
      <c r="Q10" s="89">
        <v>6</v>
      </c>
      <c r="R10" s="16">
        <f t="shared" si="8"/>
        <v>294.66666666666669</v>
      </c>
      <c r="S10" s="16" t="s">
        <v>46</v>
      </c>
      <c r="T10" s="19">
        <f>O10*$Z$12</f>
        <v>43.068480000000001</v>
      </c>
      <c r="X10" s="21" t="s">
        <v>23</v>
      </c>
      <c r="Y10" s="32">
        <v>197</v>
      </c>
      <c r="Z10" s="21">
        <f t="shared" ref="Z10:Z15" si="11">Y10/25</f>
        <v>7.88</v>
      </c>
      <c r="AB10" s="21">
        <v>25</v>
      </c>
      <c r="AC10" s="99">
        <v>0.9</v>
      </c>
    </row>
    <row r="11" spans="1:30" ht="16.5" thickTop="1" x14ac:dyDescent="0.25">
      <c r="A11" s="44" t="s">
        <v>30</v>
      </c>
      <c r="B11" s="45">
        <v>31</v>
      </c>
      <c r="C11" s="45">
        <v>45</v>
      </c>
      <c r="D11" s="46">
        <f t="shared" si="9"/>
        <v>31</v>
      </c>
      <c r="E11" s="46">
        <f t="shared" si="0"/>
        <v>45</v>
      </c>
      <c r="F11" s="47">
        <v>8</v>
      </c>
      <c r="G11" s="47">
        <v>56</v>
      </c>
      <c r="H11" s="46">
        <f t="shared" si="1"/>
        <v>14</v>
      </c>
      <c r="I11" s="48">
        <f t="shared" si="2"/>
        <v>2</v>
      </c>
      <c r="J11" s="49">
        <f t="shared" si="3"/>
        <v>6.3E-2</v>
      </c>
      <c r="K11" s="50">
        <v>6.3E-2</v>
      </c>
      <c r="L11" s="51">
        <f t="shared" si="10"/>
        <v>1000</v>
      </c>
      <c r="M11" s="51">
        <f t="shared" si="4"/>
        <v>1000</v>
      </c>
      <c r="N11" s="52">
        <f t="shared" si="5"/>
        <v>2.3940000000000001</v>
      </c>
      <c r="O11" s="53">
        <f t="shared" si="6"/>
        <v>16.758000000000003</v>
      </c>
      <c r="P11" s="48">
        <f t="shared" si="7"/>
        <v>1.1970000000000003</v>
      </c>
      <c r="Q11" s="92">
        <v>6</v>
      </c>
      <c r="R11" s="51">
        <f t="shared" si="8"/>
        <v>399</v>
      </c>
      <c r="S11" s="51" t="s">
        <v>47</v>
      </c>
      <c r="T11" s="54">
        <f>O11*$Z$14</f>
        <v>38.87856</v>
      </c>
      <c r="X11" s="21" t="s">
        <v>24</v>
      </c>
      <c r="Y11" s="32">
        <v>154</v>
      </c>
      <c r="Z11" s="21">
        <f t="shared" si="11"/>
        <v>6.16</v>
      </c>
      <c r="AB11" s="21">
        <v>26</v>
      </c>
      <c r="AC11" s="99">
        <v>1</v>
      </c>
    </row>
    <row r="12" spans="1:30" x14ac:dyDescent="0.25">
      <c r="A12" s="9" t="s">
        <v>30</v>
      </c>
      <c r="B12" s="10">
        <v>45</v>
      </c>
      <c r="C12" s="10">
        <v>65</v>
      </c>
      <c r="D12" s="11">
        <f t="shared" si="9"/>
        <v>45</v>
      </c>
      <c r="E12" s="11">
        <f t="shared" si="0"/>
        <v>65</v>
      </c>
      <c r="F12" s="12">
        <v>9</v>
      </c>
      <c r="G12" s="12">
        <v>63</v>
      </c>
      <c r="H12" s="11">
        <f t="shared" si="1"/>
        <v>20</v>
      </c>
      <c r="I12" s="13">
        <f t="shared" si="2"/>
        <v>2.8571428571428572</v>
      </c>
      <c r="J12" s="14">
        <f t="shared" si="3"/>
        <v>5.7999999999999996E-2</v>
      </c>
      <c r="K12" s="15">
        <v>5.7999999999999996E-2</v>
      </c>
      <c r="L12" s="16">
        <f t="shared" si="10"/>
        <v>1000</v>
      </c>
      <c r="M12" s="16">
        <f t="shared" si="4"/>
        <v>1000</v>
      </c>
      <c r="N12" s="17">
        <f t="shared" si="5"/>
        <v>3.19</v>
      </c>
      <c r="O12" s="18">
        <f t="shared" si="6"/>
        <v>22.33</v>
      </c>
      <c r="P12" s="13">
        <f t="shared" si="7"/>
        <v>1.1164999999999998</v>
      </c>
      <c r="Q12" s="89">
        <v>6</v>
      </c>
      <c r="R12" s="16">
        <f t="shared" si="8"/>
        <v>531.66666666666663</v>
      </c>
      <c r="S12" s="16" t="s">
        <v>47</v>
      </c>
      <c r="T12" s="19">
        <f>O12*$Z$14</f>
        <v>51.805599999999991</v>
      </c>
      <c r="X12" s="21" t="s">
        <v>26</v>
      </c>
      <c r="Y12" s="32">
        <v>87</v>
      </c>
      <c r="Z12" s="21">
        <f t="shared" si="11"/>
        <v>3.48</v>
      </c>
      <c r="AB12" s="21">
        <v>27</v>
      </c>
      <c r="AC12" s="99">
        <v>1</v>
      </c>
    </row>
    <row r="13" spans="1:30" x14ac:dyDescent="0.25">
      <c r="A13" s="4" t="s">
        <v>30</v>
      </c>
      <c r="B13" s="22">
        <v>65</v>
      </c>
      <c r="C13" s="22">
        <v>90</v>
      </c>
      <c r="D13" s="23">
        <f t="shared" si="9"/>
        <v>65</v>
      </c>
      <c r="E13" s="23">
        <f t="shared" si="0"/>
        <v>90</v>
      </c>
      <c r="F13" s="24">
        <v>10</v>
      </c>
      <c r="G13" s="24">
        <v>70</v>
      </c>
      <c r="H13" s="23">
        <f t="shared" si="1"/>
        <v>25</v>
      </c>
      <c r="I13" s="25">
        <f t="shared" si="2"/>
        <v>3.5714285714285716</v>
      </c>
      <c r="J13" s="26">
        <f t="shared" si="3"/>
        <v>5.5E-2</v>
      </c>
      <c r="K13" s="27">
        <v>5.5E-2</v>
      </c>
      <c r="L13" s="28">
        <f t="shared" si="10"/>
        <v>1000</v>
      </c>
      <c r="M13" s="28">
        <f t="shared" si="4"/>
        <v>1000</v>
      </c>
      <c r="N13" s="29">
        <f t="shared" si="5"/>
        <v>4.2625000000000002</v>
      </c>
      <c r="O13" s="30">
        <f t="shared" si="6"/>
        <v>29.837500000000002</v>
      </c>
      <c r="P13" s="25">
        <f t="shared" si="7"/>
        <v>1.1935</v>
      </c>
      <c r="Q13" s="90">
        <v>6</v>
      </c>
      <c r="R13" s="28">
        <f t="shared" si="8"/>
        <v>710.41666666666674</v>
      </c>
      <c r="S13" s="28" t="s">
        <v>47</v>
      </c>
      <c r="T13" s="31">
        <f>O13*$Z$14</f>
        <v>69.222999999999999</v>
      </c>
      <c r="X13" s="21" t="s">
        <v>27</v>
      </c>
      <c r="Y13" s="32">
        <v>69</v>
      </c>
      <c r="Z13" s="21">
        <f t="shared" si="11"/>
        <v>2.76</v>
      </c>
      <c r="AB13" s="21">
        <v>28</v>
      </c>
      <c r="AC13" s="99">
        <v>1</v>
      </c>
    </row>
    <row r="14" spans="1:30" x14ac:dyDescent="0.25">
      <c r="A14" s="9" t="s">
        <v>30</v>
      </c>
      <c r="B14" s="10">
        <v>90</v>
      </c>
      <c r="C14" s="10">
        <v>120</v>
      </c>
      <c r="D14" s="11">
        <f t="shared" si="9"/>
        <v>90</v>
      </c>
      <c r="E14" s="11">
        <f t="shared" si="0"/>
        <v>120</v>
      </c>
      <c r="F14" s="12">
        <v>11</v>
      </c>
      <c r="G14" s="12">
        <v>77</v>
      </c>
      <c r="H14" s="11">
        <f t="shared" si="1"/>
        <v>30</v>
      </c>
      <c r="I14" s="13">
        <f t="shared" si="2"/>
        <v>4.2857142857142856</v>
      </c>
      <c r="J14" s="14">
        <f t="shared" si="3"/>
        <v>5.2000000000000005E-2</v>
      </c>
      <c r="K14" s="15">
        <v>5.2000000000000005E-2</v>
      </c>
      <c r="L14" s="16">
        <f t="shared" si="10"/>
        <v>1000</v>
      </c>
      <c r="M14" s="16">
        <f t="shared" si="4"/>
        <v>1000</v>
      </c>
      <c r="N14" s="17">
        <f t="shared" si="5"/>
        <v>5.4600000000000009</v>
      </c>
      <c r="O14" s="18">
        <f t="shared" si="6"/>
        <v>38.220000000000006</v>
      </c>
      <c r="P14" s="13">
        <f t="shared" si="7"/>
        <v>1.2740000000000002</v>
      </c>
      <c r="Q14" s="89">
        <v>3</v>
      </c>
      <c r="R14" s="16">
        <f t="shared" si="8"/>
        <v>1820.0000000000002</v>
      </c>
      <c r="S14" s="16" t="s">
        <v>47</v>
      </c>
      <c r="T14" s="19">
        <f>O14*$Z$14</f>
        <v>88.670400000000001</v>
      </c>
      <c r="X14" s="21" t="s">
        <v>28</v>
      </c>
      <c r="Y14" s="32">
        <v>58</v>
      </c>
      <c r="Z14" s="21">
        <f t="shared" si="11"/>
        <v>2.3199999999999998</v>
      </c>
      <c r="AB14" s="21">
        <v>29</v>
      </c>
      <c r="AC14" s="99">
        <v>1</v>
      </c>
    </row>
    <row r="15" spans="1:30" ht="16.5" thickBot="1" x14ac:dyDescent="0.3">
      <c r="A15" s="55" t="s">
        <v>30</v>
      </c>
      <c r="B15" s="56">
        <v>120</v>
      </c>
      <c r="C15" s="56">
        <v>152</v>
      </c>
      <c r="D15" s="57">
        <f t="shared" si="9"/>
        <v>120</v>
      </c>
      <c r="E15" s="57">
        <f t="shared" si="0"/>
        <v>152</v>
      </c>
      <c r="F15" s="58">
        <v>12</v>
      </c>
      <c r="G15" s="58">
        <v>84</v>
      </c>
      <c r="H15" s="57">
        <f t="shared" si="1"/>
        <v>32</v>
      </c>
      <c r="I15" s="59">
        <f t="shared" si="2"/>
        <v>4.5714285714285712</v>
      </c>
      <c r="J15" s="60">
        <f t="shared" si="3"/>
        <v>0.05</v>
      </c>
      <c r="K15" s="61">
        <v>0.05</v>
      </c>
      <c r="L15" s="62">
        <f t="shared" si="10"/>
        <v>1000</v>
      </c>
      <c r="M15" s="62">
        <f t="shared" si="4"/>
        <v>1000</v>
      </c>
      <c r="N15" s="63">
        <f t="shared" si="5"/>
        <v>6.8</v>
      </c>
      <c r="O15" s="64">
        <f t="shared" si="6"/>
        <v>47.6</v>
      </c>
      <c r="P15" s="59">
        <f t="shared" si="7"/>
        <v>1.4875</v>
      </c>
      <c r="Q15" s="93">
        <v>3</v>
      </c>
      <c r="R15" s="62">
        <f t="shared" si="8"/>
        <v>2266.6666666666665</v>
      </c>
      <c r="S15" s="62" t="s">
        <v>47</v>
      </c>
      <c r="T15" s="65">
        <f>O15*$Z$14</f>
        <v>110.432</v>
      </c>
      <c r="X15" s="21" t="s">
        <v>29</v>
      </c>
      <c r="Y15" s="32">
        <v>48</v>
      </c>
      <c r="Z15" s="21">
        <f t="shared" si="11"/>
        <v>1.92</v>
      </c>
      <c r="AB15" s="21">
        <v>30</v>
      </c>
      <c r="AC15" s="99">
        <v>1</v>
      </c>
    </row>
    <row r="16" spans="1:30" ht="16.5" thickTop="1" x14ac:dyDescent="0.25">
      <c r="A16" s="66" t="s">
        <v>31</v>
      </c>
      <c r="B16" s="67">
        <v>152</v>
      </c>
      <c r="C16" s="67">
        <v>190</v>
      </c>
      <c r="D16" s="68">
        <f t="shared" si="9"/>
        <v>152</v>
      </c>
      <c r="E16" s="68">
        <f t="shared" si="0"/>
        <v>190</v>
      </c>
      <c r="F16" s="69">
        <v>13</v>
      </c>
      <c r="G16" s="69">
        <v>91</v>
      </c>
      <c r="H16" s="68">
        <f t="shared" si="1"/>
        <v>38</v>
      </c>
      <c r="I16" s="70">
        <f t="shared" si="2"/>
        <v>5.4285714285714288</v>
      </c>
      <c r="J16" s="71">
        <f t="shared" si="3"/>
        <v>4.2999999999999997E-2</v>
      </c>
      <c r="K16" s="72">
        <v>4.2999999999999997E-2</v>
      </c>
      <c r="L16" s="73">
        <f t="shared" si="10"/>
        <v>1000</v>
      </c>
      <c r="M16" s="73">
        <f t="shared" si="4"/>
        <v>1000</v>
      </c>
      <c r="N16" s="74">
        <f t="shared" si="5"/>
        <v>7.3529999999999989</v>
      </c>
      <c r="O16" s="75">
        <f t="shared" si="6"/>
        <v>51.470999999999989</v>
      </c>
      <c r="P16" s="70">
        <f t="shared" si="7"/>
        <v>1.3544999999999998</v>
      </c>
      <c r="Q16" s="94">
        <v>3</v>
      </c>
      <c r="R16" s="73">
        <f t="shared" si="8"/>
        <v>2450.9999999999995</v>
      </c>
      <c r="S16" s="73" t="s">
        <v>49</v>
      </c>
      <c r="T16" s="76">
        <f>O16*$Z$15</f>
        <v>98.824319999999972</v>
      </c>
      <c r="AB16" s="21">
        <v>31</v>
      </c>
      <c r="AC16" s="99">
        <v>1</v>
      </c>
    </row>
    <row r="17" spans="1:30" x14ac:dyDescent="0.25">
      <c r="A17" s="4" t="s">
        <v>31</v>
      </c>
      <c r="B17" s="22">
        <v>190</v>
      </c>
      <c r="C17" s="22">
        <v>231</v>
      </c>
      <c r="D17" s="23">
        <f t="shared" si="9"/>
        <v>190</v>
      </c>
      <c r="E17" s="23">
        <f t="shared" si="0"/>
        <v>231</v>
      </c>
      <c r="F17" s="24">
        <v>14</v>
      </c>
      <c r="G17" s="24">
        <v>98</v>
      </c>
      <c r="H17" s="23">
        <f t="shared" si="1"/>
        <v>41</v>
      </c>
      <c r="I17" s="25">
        <f t="shared" si="2"/>
        <v>5.8571428571428568</v>
      </c>
      <c r="J17" s="26">
        <f t="shared" si="3"/>
        <v>3.6000000000000004E-2</v>
      </c>
      <c r="K17" s="27">
        <v>3.6000000000000004E-2</v>
      </c>
      <c r="L17" s="28">
        <f t="shared" si="10"/>
        <v>1000</v>
      </c>
      <c r="M17" s="28">
        <f t="shared" si="4"/>
        <v>1000</v>
      </c>
      <c r="N17" s="29">
        <f t="shared" si="5"/>
        <v>7.5780000000000012</v>
      </c>
      <c r="O17" s="30">
        <f t="shared" si="6"/>
        <v>53.046000000000006</v>
      </c>
      <c r="P17" s="25">
        <f t="shared" si="7"/>
        <v>1.2938048780487807</v>
      </c>
      <c r="Q17" s="90">
        <v>3</v>
      </c>
      <c r="R17" s="28">
        <f t="shared" si="8"/>
        <v>2526.0000000000005</v>
      </c>
      <c r="S17" s="28" t="s">
        <v>49</v>
      </c>
      <c r="T17" s="31">
        <f t="shared" ref="T17:T36" si="12">O17*$Y$15/25</f>
        <v>101.84832000000002</v>
      </c>
      <c r="AB17" s="21">
        <v>32</v>
      </c>
      <c r="AC17" s="99">
        <v>0.9</v>
      </c>
    </row>
    <row r="18" spans="1:30" x14ac:dyDescent="0.25">
      <c r="A18" s="9" t="s">
        <v>31</v>
      </c>
      <c r="B18" s="10">
        <v>231</v>
      </c>
      <c r="C18" s="10">
        <v>273</v>
      </c>
      <c r="D18" s="11">
        <f t="shared" si="9"/>
        <v>231</v>
      </c>
      <c r="E18" s="11">
        <f t="shared" si="0"/>
        <v>273</v>
      </c>
      <c r="F18" s="12">
        <v>15</v>
      </c>
      <c r="G18" s="12">
        <v>105</v>
      </c>
      <c r="H18" s="11">
        <f t="shared" si="1"/>
        <v>42</v>
      </c>
      <c r="I18" s="13">
        <f t="shared" si="2"/>
        <v>6</v>
      </c>
      <c r="J18" s="14">
        <f t="shared" si="3"/>
        <v>3.3000000000000002E-2</v>
      </c>
      <c r="K18" s="15">
        <v>3.3000000000000002E-2</v>
      </c>
      <c r="L18" s="16">
        <f t="shared" si="10"/>
        <v>1000</v>
      </c>
      <c r="M18" s="16">
        <f t="shared" si="4"/>
        <v>1000</v>
      </c>
      <c r="N18" s="17">
        <f t="shared" si="5"/>
        <v>8.3160000000000007</v>
      </c>
      <c r="O18" s="18">
        <f t="shared" si="6"/>
        <v>58.212000000000003</v>
      </c>
      <c r="P18" s="13">
        <f t="shared" si="7"/>
        <v>1.3860000000000001</v>
      </c>
      <c r="Q18" s="89">
        <v>3</v>
      </c>
      <c r="R18" s="16">
        <f t="shared" si="8"/>
        <v>2772.0000000000005</v>
      </c>
      <c r="S18" s="16" t="s">
        <v>49</v>
      </c>
      <c r="T18" s="19">
        <f t="shared" si="12"/>
        <v>111.76704000000001</v>
      </c>
    </row>
    <row r="19" spans="1:30" x14ac:dyDescent="0.25">
      <c r="A19" s="4" t="s">
        <v>31</v>
      </c>
      <c r="B19" s="22">
        <v>273</v>
      </c>
      <c r="C19" s="22">
        <v>316</v>
      </c>
      <c r="D19" s="23">
        <f t="shared" si="9"/>
        <v>273</v>
      </c>
      <c r="E19" s="23">
        <f t="shared" si="0"/>
        <v>316</v>
      </c>
      <c r="F19" s="24">
        <v>16</v>
      </c>
      <c r="G19" s="24">
        <v>112</v>
      </c>
      <c r="H19" s="23">
        <f t="shared" si="1"/>
        <v>43</v>
      </c>
      <c r="I19" s="25">
        <f t="shared" si="2"/>
        <v>6.1428571428571432</v>
      </c>
      <c r="J19" s="26">
        <f t="shared" si="3"/>
        <v>3.1E-2</v>
      </c>
      <c r="K19" s="27">
        <v>3.1E-2</v>
      </c>
      <c r="L19" s="28">
        <f t="shared" si="10"/>
        <v>1000</v>
      </c>
      <c r="M19" s="28">
        <f t="shared" si="4"/>
        <v>1000</v>
      </c>
      <c r="N19" s="29">
        <f t="shared" si="5"/>
        <v>9.1295000000000002</v>
      </c>
      <c r="O19" s="30">
        <f t="shared" si="6"/>
        <v>63.906500000000001</v>
      </c>
      <c r="P19" s="25">
        <f t="shared" si="7"/>
        <v>1.4861976744186047</v>
      </c>
      <c r="Q19" s="90">
        <v>3</v>
      </c>
      <c r="R19" s="28">
        <f t="shared" si="8"/>
        <v>3043.1666666666665</v>
      </c>
      <c r="S19" s="28" t="s">
        <v>49</v>
      </c>
      <c r="T19" s="31">
        <f t="shared" si="12"/>
        <v>122.70048000000001</v>
      </c>
      <c r="AB19" t="s">
        <v>55</v>
      </c>
      <c r="AC19" t="s">
        <v>51</v>
      </c>
    </row>
    <row r="20" spans="1:30" x14ac:dyDescent="0.25">
      <c r="A20" s="9" t="s">
        <v>31</v>
      </c>
      <c r="B20" s="10">
        <v>316</v>
      </c>
      <c r="C20" s="10">
        <v>360</v>
      </c>
      <c r="D20" s="11">
        <f t="shared" si="9"/>
        <v>316</v>
      </c>
      <c r="E20" s="11">
        <f t="shared" si="0"/>
        <v>360</v>
      </c>
      <c r="F20" s="12">
        <v>17</v>
      </c>
      <c r="G20" s="12">
        <v>119</v>
      </c>
      <c r="H20" s="11">
        <f t="shared" si="1"/>
        <v>44</v>
      </c>
      <c r="I20" s="13">
        <f t="shared" si="2"/>
        <v>6.2857142857142856</v>
      </c>
      <c r="J20" s="14">
        <f t="shared" si="3"/>
        <v>2.8999999999999998E-2</v>
      </c>
      <c r="K20" s="15">
        <v>2.8999999999999998E-2</v>
      </c>
      <c r="L20" s="16">
        <f t="shared" si="10"/>
        <v>1000</v>
      </c>
      <c r="M20" s="16">
        <f t="shared" si="4"/>
        <v>1000</v>
      </c>
      <c r="N20" s="17">
        <f t="shared" si="5"/>
        <v>9.8019999999999996</v>
      </c>
      <c r="O20" s="18">
        <f t="shared" si="6"/>
        <v>68.614000000000004</v>
      </c>
      <c r="P20" s="13">
        <f t="shared" si="7"/>
        <v>1.559409090909091</v>
      </c>
      <c r="Q20" s="89">
        <v>3</v>
      </c>
      <c r="R20" s="16">
        <f t="shared" si="8"/>
        <v>3267.333333333333</v>
      </c>
      <c r="S20" s="16" t="s">
        <v>49</v>
      </c>
      <c r="T20" s="19">
        <f t="shared" si="12"/>
        <v>131.73887999999999</v>
      </c>
      <c r="AB20" t="s">
        <v>56</v>
      </c>
      <c r="AC20" t="s">
        <v>58</v>
      </c>
    </row>
    <row r="21" spans="1:30" x14ac:dyDescent="0.25">
      <c r="A21" s="4" t="s">
        <v>31</v>
      </c>
      <c r="B21" s="22">
        <v>360</v>
      </c>
      <c r="C21" s="22">
        <v>405</v>
      </c>
      <c r="D21" s="23">
        <f t="shared" si="9"/>
        <v>360</v>
      </c>
      <c r="E21" s="23">
        <f t="shared" si="0"/>
        <v>405</v>
      </c>
      <c r="F21" s="24">
        <v>18</v>
      </c>
      <c r="G21" s="24">
        <v>126</v>
      </c>
      <c r="H21" s="23">
        <f t="shared" si="1"/>
        <v>45</v>
      </c>
      <c r="I21" s="25">
        <f t="shared" si="2"/>
        <v>6.4285714285714288</v>
      </c>
      <c r="J21" s="26">
        <f t="shared" si="3"/>
        <v>2.7000000000000003E-2</v>
      </c>
      <c r="K21" s="27">
        <v>2.7000000000000003E-2</v>
      </c>
      <c r="L21" s="28">
        <f t="shared" si="10"/>
        <v>1000</v>
      </c>
      <c r="M21" s="28">
        <f t="shared" si="4"/>
        <v>1000</v>
      </c>
      <c r="N21" s="29">
        <f t="shared" si="5"/>
        <v>10.327500000000002</v>
      </c>
      <c r="O21" s="30">
        <f t="shared" si="6"/>
        <v>72.292500000000018</v>
      </c>
      <c r="P21" s="25">
        <f t="shared" si="7"/>
        <v>1.6065000000000005</v>
      </c>
      <c r="Q21" s="90">
        <v>3</v>
      </c>
      <c r="R21" s="28">
        <f t="shared" si="8"/>
        <v>3442.5000000000009</v>
      </c>
      <c r="S21" s="28" t="s">
        <v>49</v>
      </c>
      <c r="T21" s="31">
        <f t="shared" si="12"/>
        <v>138.80160000000004</v>
      </c>
      <c r="AB21" t="s">
        <v>52</v>
      </c>
      <c r="AC21" t="s">
        <v>59</v>
      </c>
    </row>
    <row r="22" spans="1:30" ht="18.75" x14ac:dyDescent="0.3">
      <c r="A22" s="9" t="s">
        <v>31</v>
      </c>
      <c r="B22" s="10">
        <v>405</v>
      </c>
      <c r="C22" s="10">
        <v>451</v>
      </c>
      <c r="D22" s="11">
        <f t="shared" si="9"/>
        <v>405</v>
      </c>
      <c r="E22" s="11">
        <f t="shared" si="0"/>
        <v>451</v>
      </c>
      <c r="F22" s="12">
        <v>19</v>
      </c>
      <c r="G22" s="12">
        <v>133</v>
      </c>
      <c r="H22" s="11">
        <f t="shared" si="1"/>
        <v>46</v>
      </c>
      <c r="I22" s="13">
        <f t="shared" si="2"/>
        <v>6.5714285714285712</v>
      </c>
      <c r="J22" s="14">
        <f t="shared" si="3"/>
        <v>2.5000000000000001E-2</v>
      </c>
      <c r="K22" s="15">
        <v>2.5000000000000001E-2</v>
      </c>
      <c r="L22" s="16">
        <f t="shared" si="10"/>
        <v>1000</v>
      </c>
      <c r="M22" s="16">
        <f t="shared" si="4"/>
        <v>1000</v>
      </c>
      <c r="N22" s="17">
        <f t="shared" si="5"/>
        <v>10.7</v>
      </c>
      <c r="O22" s="18">
        <f t="shared" si="6"/>
        <v>74.899999999999991</v>
      </c>
      <c r="P22" s="13">
        <f t="shared" si="7"/>
        <v>1.6282608695652172</v>
      </c>
      <c r="Q22" s="89">
        <v>3</v>
      </c>
      <c r="R22" s="16">
        <f t="shared" si="8"/>
        <v>3566.6666666666665</v>
      </c>
      <c r="S22" s="16" t="s">
        <v>49</v>
      </c>
      <c r="T22" s="19">
        <f t="shared" si="12"/>
        <v>143.80799999999999</v>
      </c>
      <c r="AB22" t="s">
        <v>53</v>
      </c>
      <c r="AC22" s="85"/>
      <c r="AD22" s="85"/>
    </row>
    <row r="23" spans="1:30" x14ac:dyDescent="0.25">
      <c r="A23" s="4" t="s">
        <v>31</v>
      </c>
      <c r="B23" s="22">
        <v>451</v>
      </c>
      <c r="C23" s="22">
        <v>498</v>
      </c>
      <c r="D23" s="23">
        <f t="shared" si="9"/>
        <v>451</v>
      </c>
      <c r="E23" s="23">
        <f t="shared" si="0"/>
        <v>498</v>
      </c>
      <c r="F23" s="24">
        <v>20</v>
      </c>
      <c r="G23" s="24">
        <v>140</v>
      </c>
      <c r="H23" s="23">
        <f t="shared" si="1"/>
        <v>47</v>
      </c>
      <c r="I23" s="25">
        <f t="shared" si="2"/>
        <v>6.7142857142857144</v>
      </c>
      <c r="J23" s="26">
        <f t="shared" si="3"/>
        <v>2.3E-2</v>
      </c>
      <c r="K23" s="27">
        <v>2.3E-2</v>
      </c>
      <c r="L23" s="28">
        <f t="shared" si="10"/>
        <v>1000</v>
      </c>
      <c r="M23" s="28">
        <f t="shared" si="4"/>
        <v>1000</v>
      </c>
      <c r="N23" s="29">
        <f t="shared" si="5"/>
        <v>10.913500000000001</v>
      </c>
      <c r="O23" s="30">
        <f t="shared" si="6"/>
        <v>76.394500000000008</v>
      </c>
      <c r="P23" s="25">
        <f t="shared" si="7"/>
        <v>1.6254148936170214</v>
      </c>
      <c r="Q23" s="90">
        <v>3</v>
      </c>
      <c r="R23" s="28">
        <f t="shared" si="8"/>
        <v>3637.8333333333335</v>
      </c>
      <c r="S23" s="28" t="s">
        <v>49</v>
      </c>
      <c r="T23" s="31">
        <f t="shared" si="12"/>
        <v>146.67744000000002</v>
      </c>
      <c r="AB23" t="s">
        <v>54</v>
      </c>
      <c r="AC23"/>
      <c r="AD23"/>
    </row>
    <row r="24" spans="1:30" x14ac:dyDescent="0.25">
      <c r="A24" s="9" t="s">
        <v>31</v>
      </c>
      <c r="B24" s="10">
        <v>498</v>
      </c>
      <c r="C24" s="10">
        <v>546</v>
      </c>
      <c r="D24" s="11">
        <f t="shared" si="9"/>
        <v>498</v>
      </c>
      <c r="E24" s="11">
        <f t="shared" si="0"/>
        <v>546</v>
      </c>
      <c r="F24" s="12">
        <v>21</v>
      </c>
      <c r="G24" s="12">
        <v>147</v>
      </c>
      <c r="H24" s="11">
        <f t="shared" si="1"/>
        <v>48</v>
      </c>
      <c r="I24" s="13">
        <f t="shared" si="2"/>
        <v>6.8571428571428568</v>
      </c>
      <c r="J24" s="14">
        <f t="shared" si="3"/>
        <v>2.2000000000000002E-2</v>
      </c>
      <c r="K24" s="15">
        <v>2.2000000000000002E-2</v>
      </c>
      <c r="L24" s="16">
        <f t="shared" si="10"/>
        <v>1000</v>
      </c>
      <c r="M24" s="16">
        <f t="shared" si="4"/>
        <v>1000</v>
      </c>
      <c r="N24" s="17">
        <f t="shared" si="5"/>
        <v>11.484000000000002</v>
      </c>
      <c r="O24" s="18">
        <f t="shared" si="6"/>
        <v>80.388000000000005</v>
      </c>
      <c r="P24" s="13">
        <f t="shared" si="7"/>
        <v>1.6747500000000002</v>
      </c>
      <c r="Q24" s="89">
        <v>3</v>
      </c>
      <c r="R24" s="16">
        <f t="shared" si="8"/>
        <v>3828.0000000000009</v>
      </c>
      <c r="S24" s="16" t="s">
        <v>49</v>
      </c>
      <c r="T24" s="19">
        <f t="shared" si="12"/>
        <v>154.34496000000001</v>
      </c>
      <c r="AB24" t="s">
        <v>57</v>
      </c>
      <c r="AC24"/>
      <c r="AD24"/>
    </row>
    <row r="25" spans="1:30" x14ac:dyDescent="0.25">
      <c r="A25" s="4" t="s">
        <v>31</v>
      </c>
      <c r="B25" s="22">
        <v>546</v>
      </c>
      <c r="C25" s="22">
        <v>595</v>
      </c>
      <c r="D25" s="23">
        <f t="shared" si="9"/>
        <v>546</v>
      </c>
      <c r="E25" s="23">
        <f t="shared" si="0"/>
        <v>595</v>
      </c>
      <c r="F25" s="24">
        <v>22</v>
      </c>
      <c r="G25" s="24">
        <v>154</v>
      </c>
      <c r="H25" s="23">
        <f t="shared" si="1"/>
        <v>49</v>
      </c>
      <c r="I25" s="25">
        <f t="shared" si="2"/>
        <v>7</v>
      </c>
      <c r="J25" s="26">
        <f t="shared" si="3"/>
        <v>0.02</v>
      </c>
      <c r="K25" s="27">
        <v>0.02</v>
      </c>
      <c r="L25" s="28">
        <f t="shared" si="10"/>
        <v>1000</v>
      </c>
      <c r="M25" s="28">
        <f t="shared" si="4"/>
        <v>1000</v>
      </c>
      <c r="N25" s="29">
        <f t="shared" si="5"/>
        <v>11.41</v>
      </c>
      <c r="O25" s="30">
        <f t="shared" si="6"/>
        <v>79.87</v>
      </c>
      <c r="P25" s="25">
        <f t="shared" si="7"/>
        <v>1.6300000000000001</v>
      </c>
      <c r="Q25" s="90">
        <v>3</v>
      </c>
      <c r="R25" s="28">
        <f t="shared" si="8"/>
        <v>3803.333333333333</v>
      </c>
      <c r="S25" s="28" t="s">
        <v>49</v>
      </c>
      <c r="T25" s="31">
        <f t="shared" si="12"/>
        <v>153.35040000000001</v>
      </c>
    </row>
    <row r="26" spans="1:30" x14ac:dyDescent="0.25">
      <c r="A26" s="9" t="s">
        <v>31</v>
      </c>
      <c r="B26" s="10">
        <v>595</v>
      </c>
      <c r="C26" s="10">
        <v>645</v>
      </c>
      <c r="D26" s="11">
        <f t="shared" si="9"/>
        <v>595</v>
      </c>
      <c r="E26" s="11">
        <f t="shared" si="0"/>
        <v>645</v>
      </c>
      <c r="F26" s="12">
        <v>23</v>
      </c>
      <c r="G26" s="12">
        <v>161</v>
      </c>
      <c r="H26" s="11">
        <f t="shared" si="1"/>
        <v>50</v>
      </c>
      <c r="I26" s="13">
        <f t="shared" si="2"/>
        <v>7.1428571428571432</v>
      </c>
      <c r="J26" s="14">
        <f t="shared" si="3"/>
        <v>1.9E-2</v>
      </c>
      <c r="K26" s="15">
        <v>1.9E-2</v>
      </c>
      <c r="L26" s="16">
        <f t="shared" si="10"/>
        <v>1000</v>
      </c>
      <c r="M26" s="16">
        <f t="shared" si="4"/>
        <v>1000</v>
      </c>
      <c r="N26" s="17">
        <f t="shared" si="5"/>
        <v>11.78</v>
      </c>
      <c r="O26" s="18">
        <f t="shared" si="6"/>
        <v>82.46</v>
      </c>
      <c r="P26" s="13">
        <f t="shared" si="7"/>
        <v>1.6491999999999998</v>
      </c>
      <c r="Q26" s="89">
        <v>3</v>
      </c>
      <c r="R26" s="16">
        <f t="shared" si="8"/>
        <v>3926.6666666666665</v>
      </c>
      <c r="S26" s="16" t="s">
        <v>49</v>
      </c>
      <c r="T26" s="19">
        <f t="shared" si="12"/>
        <v>158.32319999999999</v>
      </c>
    </row>
    <row r="27" spans="1:30" x14ac:dyDescent="0.25">
      <c r="A27" s="4" t="s">
        <v>31</v>
      </c>
      <c r="B27" s="22">
        <v>645</v>
      </c>
      <c r="C27" s="22">
        <v>696</v>
      </c>
      <c r="D27" s="23">
        <f t="shared" si="9"/>
        <v>645</v>
      </c>
      <c r="E27" s="23">
        <f t="shared" si="0"/>
        <v>696</v>
      </c>
      <c r="F27" s="24">
        <v>24</v>
      </c>
      <c r="G27" s="24">
        <v>168</v>
      </c>
      <c r="H27" s="23">
        <f t="shared" si="1"/>
        <v>51</v>
      </c>
      <c r="I27" s="25">
        <f t="shared" si="2"/>
        <v>7.2857142857142856</v>
      </c>
      <c r="J27" s="26">
        <f t="shared" si="3"/>
        <v>1.8000000000000002E-2</v>
      </c>
      <c r="K27" s="27">
        <v>1.8000000000000002E-2</v>
      </c>
      <c r="L27" s="28">
        <f t="shared" si="10"/>
        <v>1000</v>
      </c>
      <c r="M27" s="28">
        <f t="shared" si="4"/>
        <v>1000</v>
      </c>
      <c r="N27" s="29">
        <f t="shared" si="5"/>
        <v>12.069000000000003</v>
      </c>
      <c r="O27" s="30">
        <f t="shared" si="6"/>
        <v>84.483000000000018</v>
      </c>
      <c r="P27" s="25">
        <f t="shared" si="7"/>
        <v>1.6565294117647062</v>
      </c>
      <c r="Q27" s="90">
        <v>3</v>
      </c>
      <c r="R27" s="28">
        <f t="shared" si="8"/>
        <v>4023.0000000000005</v>
      </c>
      <c r="S27" s="28" t="s">
        <v>49</v>
      </c>
      <c r="T27" s="31">
        <f t="shared" si="12"/>
        <v>162.20736000000005</v>
      </c>
    </row>
    <row r="28" spans="1:30" x14ac:dyDescent="0.25">
      <c r="A28" s="9" t="s">
        <v>31</v>
      </c>
      <c r="B28" s="10">
        <v>696</v>
      </c>
      <c r="C28" s="10">
        <v>748</v>
      </c>
      <c r="D28" s="11">
        <f t="shared" si="9"/>
        <v>696</v>
      </c>
      <c r="E28" s="11">
        <f t="shared" si="0"/>
        <v>748</v>
      </c>
      <c r="F28" s="12">
        <v>25</v>
      </c>
      <c r="G28" s="12">
        <v>175</v>
      </c>
      <c r="H28" s="11">
        <f t="shared" si="1"/>
        <v>52</v>
      </c>
      <c r="I28" s="13">
        <f t="shared" si="2"/>
        <v>7.4285714285714288</v>
      </c>
      <c r="J28" s="14">
        <f t="shared" si="3"/>
        <v>1.7000000000000001E-2</v>
      </c>
      <c r="K28" s="15">
        <v>1.7000000000000001E-2</v>
      </c>
      <c r="L28" s="16">
        <f t="shared" si="10"/>
        <v>1000</v>
      </c>
      <c r="M28" s="16">
        <f t="shared" si="4"/>
        <v>1000</v>
      </c>
      <c r="N28" s="17">
        <f t="shared" si="5"/>
        <v>12.273999999999999</v>
      </c>
      <c r="O28" s="18">
        <f t="shared" si="6"/>
        <v>85.917999999999992</v>
      </c>
      <c r="P28" s="13">
        <f t="shared" si="7"/>
        <v>1.6522692307692306</v>
      </c>
      <c r="Q28" s="89">
        <v>3</v>
      </c>
      <c r="R28" s="16">
        <f t="shared" si="8"/>
        <v>4091.333333333333</v>
      </c>
      <c r="S28" s="16" t="s">
        <v>49</v>
      </c>
      <c r="T28" s="19">
        <f t="shared" si="12"/>
        <v>164.96255999999997</v>
      </c>
    </row>
    <row r="29" spans="1:30" ht="16.5" thickBot="1" x14ac:dyDescent="0.3">
      <c r="A29" s="55" t="s">
        <v>31</v>
      </c>
      <c r="B29" s="56">
        <v>748</v>
      </c>
      <c r="C29" s="56">
        <v>801</v>
      </c>
      <c r="D29" s="57">
        <f t="shared" si="9"/>
        <v>748</v>
      </c>
      <c r="E29" s="57">
        <f t="shared" si="0"/>
        <v>801</v>
      </c>
      <c r="F29" s="58">
        <v>26</v>
      </c>
      <c r="G29" s="58">
        <v>182</v>
      </c>
      <c r="H29" s="57">
        <f t="shared" si="1"/>
        <v>53</v>
      </c>
      <c r="I29" s="59">
        <f t="shared" si="2"/>
        <v>7.5714285714285712</v>
      </c>
      <c r="J29" s="60">
        <f t="shared" si="3"/>
        <v>1.6E-2</v>
      </c>
      <c r="K29" s="61">
        <v>1.6E-2</v>
      </c>
      <c r="L29" s="62">
        <f t="shared" si="10"/>
        <v>1000</v>
      </c>
      <c r="M29" s="62">
        <f t="shared" si="4"/>
        <v>1000</v>
      </c>
      <c r="N29" s="63">
        <f t="shared" si="5"/>
        <v>12.391999999999999</v>
      </c>
      <c r="O29" s="64">
        <f t="shared" si="6"/>
        <v>86.744</v>
      </c>
      <c r="P29" s="59">
        <f t="shared" si="7"/>
        <v>1.6366792452830188</v>
      </c>
      <c r="Q29" s="93">
        <v>3</v>
      </c>
      <c r="R29" s="62">
        <f t="shared" si="8"/>
        <v>4130.6666666666661</v>
      </c>
      <c r="S29" s="62" t="s">
        <v>49</v>
      </c>
      <c r="T29" s="65">
        <f t="shared" si="12"/>
        <v>166.54847999999998</v>
      </c>
    </row>
    <row r="30" spans="1:30" ht="16.5" thickTop="1" x14ac:dyDescent="0.25">
      <c r="A30" s="9" t="s">
        <v>32</v>
      </c>
      <c r="B30" s="10">
        <v>801</v>
      </c>
      <c r="C30" s="10">
        <v>854</v>
      </c>
      <c r="D30" s="11">
        <f t="shared" si="9"/>
        <v>801</v>
      </c>
      <c r="E30" s="11">
        <f t="shared" si="0"/>
        <v>854</v>
      </c>
      <c r="F30" s="12">
        <v>27</v>
      </c>
      <c r="G30" s="12">
        <v>189</v>
      </c>
      <c r="H30" s="11">
        <f t="shared" si="1"/>
        <v>53</v>
      </c>
      <c r="I30" s="13">
        <f t="shared" si="2"/>
        <v>7.5714285714285712</v>
      </c>
      <c r="J30" s="14">
        <f t="shared" si="3"/>
        <v>1.4999999999999999E-2</v>
      </c>
      <c r="K30" s="15">
        <v>1.4999999999999999E-2</v>
      </c>
      <c r="L30" s="16">
        <f t="shared" si="10"/>
        <v>1000</v>
      </c>
      <c r="M30" s="16">
        <f t="shared" si="4"/>
        <v>1000</v>
      </c>
      <c r="N30" s="17">
        <f t="shared" si="5"/>
        <v>12.4125</v>
      </c>
      <c r="O30" s="18">
        <f t="shared" si="6"/>
        <v>86.887500000000003</v>
      </c>
      <c r="P30" s="13">
        <f t="shared" si="7"/>
        <v>1.6393867924528303</v>
      </c>
      <c r="Q30" s="89">
        <v>3</v>
      </c>
      <c r="R30" s="16">
        <f t="shared" si="8"/>
        <v>4137.5</v>
      </c>
      <c r="S30" s="16" t="s">
        <v>48</v>
      </c>
      <c r="T30" s="19">
        <f t="shared" si="12"/>
        <v>166.82400000000001</v>
      </c>
    </row>
    <row r="31" spans="1:30" x14ac:dyDescent="0.25">
      <c r="A31" s="4" t="s">
        <v>32</v>
      </c>
      <c r="B31" s="22">
        <v>854</v>
      </c>
      <c r="C31" s="22">
        <v>908</v>
      </c>
      <c r="D31" s="23">
        <f t="shared" si="9"/>
        <v>854</v>
      </c>
      <c r="E31" s="23">
        <f t="shared" si="0"/>
        <v>908</v>
      </c>
      <c r="F31" s="24">
        <v>28</v>
      </c>
      <c r="G31" s="24">
        <v>196</v>
      </c>
      <c r="H31" s="23">
        <f t="shared" si="1"/>
        <v>54</v>
      </c>
      <c r="I31" s="25">
        <f t="shared" si="2"/>
        <v>7.7142857142857144</v>
      </c>
      <c r="J31" s="26">
        <f t="shared" si="3"/>
        <v>1.4999999999999999E-2</v>
      </c>
      <c r="K31" s="27">
        <v>1.4999999999999999E-2</v>
      </c>
      <c r="L31" s="28">
        <f t="shared" si="10"/>
        <v>1000</v>
      </c>
      <c r="M31" s="28">
        <f t="shared" si="4"/>
        <v>1000</v>
      </c>
      <c r="N31" s="29">
        <f t="shared" si="5"/>
        <v>13.215</v>
      </c>
      <c r="O31" s="30">
        <f t="shared" si="6"/>
        <v>92.504999999999995</v>
      </c>
      <c r="P31" s="25">
        <f t="shared" si="7"/>
        <v>1.7130555555555556</v>
      </c>
      <c r="Q31" s="90">
        <v>3</v>
      </c>
      <c r="R31" s="28">
        <f t="shared" si="8"/>
        <v>4405</v>
      </c>
      <c r="S31" s="28" t="s">
        <v>48</v>
      </c>
      <c r="T31" s="31">
        <f t="shared" si="12"/>
        <v>177.6096</v>
      </c>
    </row>
    <row r="32" spans="1:30" x14ac:dyDescent="0.25">
      <c r="A32" s="9" t="s">
        <v>32</v>
      </c>
      <c r="B32" s="10">
        <v>908</v>
      </c>
      <c r="C32" s="10">
        <v>963</v>
      </c>
      <c r="D32" s="11">
        <f t="shared" si="9"/>
        <v>908</v>
      </c>
      <c r="E32" s="11">
        <f t="shared" si="0"/>
        <v>963</v>
      </c>
      <c r="F32" s="12">
        <v>29</v>
      </c>
      <c r="G32" s="12">
        <v>203</v>
      </c>
      <c r="H32" s="11">
        <f t="shared" si="1"/>
        <v>55</v>
      </c>
      <c r="I32" s="13">
        <f t="shared" si="2"/>
        <v>7.8571428571428568</v>
      </c>
      <c r="J32" s="14">
        <f t="shared" si="3"/>
        <v>1.3999999999999999E-2</v>
      </c>
      <c r="K32" s="15">
        <v>1.3999999999999999E-2</v>
      </c>
      <c r="L32" s="16">
        <f t="shared" si="10"/>
        <v>1000</v>
      </c>
      <c r="M32" s="16">
        <f t="shared" si="4"/>
        <v>1000</v>
      </c>
      <c r="N32" s="17">
        <f t="shared" si="5"/>
        <v>13.096999999999998</v>
      </c>
      <c r="O32" s="18">
        <f t="shared" si="6"/>
        <v>91.678999999999988</v>
      </c>
      <c r="P32" s="13">
        <f t="shared" si="7"/>
        <v>1.666890909090909</v>
      </c>
      <c r="Q32" s="89">
        <v>3</v>
      </c>
      <c r="R32" s="16">
        <f t="shared" si="8"/>
        <v>4365.6666666666661</v>
      </c>
      <c r="S32" s="16" t="s">
        <v>48</v>
      </c>
      <c r="T32" s="19">
        <f t="shared" si="12"/>
        <v>176.02367999999998</v>
      </c>
    </row>
    <row r="33" spans="1:28" x14ac:dyDescent="0.25">
      <c r="A33" s="4" t="s">
        <v>32</v>
      </c>
      <c r="B33" s="22">
        <v>963</v>
      </c>
      <c r="C33" s="22">
        <v>1019</v>
      </c>
      <c r="D33" s="23">
        <f t="shared" si="9"/>
        <v>963</v>
      </c>
      <c r="E33" s="23">
        <f t="shared" si="0"/>
        <v>1019</v>
      </c>
      <c r="F33" s="24">
        <v>30</v>
      </c>
      <c r="G33" s="24">
        <v>210</v>
      </c>
      <c r="H33" s="23">
        <f t="shared" si="1"/>
        <v>56</v>
      </c>
      <c r="I33" s="25">
        <f t="shared" si="2"/>
        <v>8</v>
      </c>
      <c r="J33" s="26">
        <f t="shared" si="3"/>
        <v>1.3000000000000001E-2</v>
      </c>
      <c r="K33" s="27">
        <v>1.3000000000000001E-2</v>
      </c>
      <c r="L33" s="28">
        <f t="shared" si="10"/>
        <v>1000</v>
      </c>
      <c r="M33" s="28">
        <f t="shared" si="4"/>
        <v>1000</v>
      </c>
      <c r="N33" s="29">
        <f t="shared" si="5"/>
        <v>12.883000000000003</v>
      </c>
      <c r="O33" s="30">
        <f t="shared" si="6"/>
        <v>90.181000000000012</v>
      </c>
      <c r="P33" s="25">
        <f t="shared" si="7"/>
        <v>1.6103750000000001</v>
      </c>
      <c r="Q33" s="90">
        <v>3</v>
      </c>
      <c r="R33" s="28">
        <f t="shared" si="8"/>
        <v>4294.3333333333339</v>
      </c>
      <c r="S33" s="28" t="s">
        <v>48</v>
      </c>
      <c r="T33" s="31">
        <f t="shared" si="12"/>
        <v>173.14752000000001</v>
      </c>
    </row>
    <row r="34" spans="1:28" x14ac:dyDescent="0.25">
      <c r="A34" s="9" t="s">
        <v>32</v>
      </c>
      <c r="B34" s="10">
        <v>1019</v>
      </c>
      <c r="C34" s="10">
        <v>1076</v>
      </c>
      <c r="D34" s="11">
        <f t="shared" si="9"/>
        <v>1019</v>
      </c>
      <c r="E34" s="11">
        <f t="shared" si="0"/>
        <v>1076</v>
      </c>
      <c r="F34" s="12">
        <v>31</v>
      </c>
      <c r="G34" s="12">
        <v>217</v>
      </c>
      <c r="H34" s="11">
        <f t="shared" si="1"/>
        <v>57</v>
      </c>
      <c r="I34" s="13">
        <f t="shared" si="2"/>
        <v>8.1428571428571423</v>
      </c>
      <c r="J34" s="14">
        <f t="shared" si="3"/>
        <v>1.2E-2</v>
      </c>
      <c r="K34" s="15">
        <v>1.2E-2</v>
      </c>
      <c r="L34" s="16">
        <f t="shared" si="10"/>
        <v>1000</v>
      </c>
      <c r="M34" s="16">
        <f t="shared" si="4"/>
        <v>1000</v>
      </c>
      <c r="N34" s="17">
        <f t="shared" si="5"/>
        <v>12.57</v>
      </c>
      <c r="O34" s="18">
        <f t="shared" si="6"/>
        <v>87.990000000000009</v>
      </c>
      <c r="P34" s="13">
        <f t="shared" si="7"/>
        <v>1.543684210526316</v>
      </c>
      <c r="Q34" s="89">
        <v>3</v>
      </c>
      <c r="R34" s="16">
        <f t="shared" si="8"/>
        <v>4190</v>
      </c>
      <c r="S34" s="16" t="s">
        <v>48</v>
      </c>
      <c r="T34" s="19">
        <f t="shared" si="12"/>
        <v>168.94080000000002</v>
      </c>
      <c r="U34" s="77"/>
      <c r="W34" s="77"/>
    </row>
    <row r="35" spans="1:28" x14ac:dyDescent="0.25">
      <c r="A35" s="4" t="s">
        <v>32</v>
      </c>
      <c r="B35" s="22">
        <v>1076</v>
      </c>
      <c r="C35" s="22">
        <v>1134</v>
      </c>
      <c r="D35" s="23">
        <f t="shared" si="9"/>
        <v>1076</v>
      </c>
      <c r="E35" s="23">
        <f t="shared" si="0"/>
        <v>1134</v>
      </c>
      <c r="F35" s="24">
        <v>32</v>
      </c>
      <c r="G35" s="24">
        <v>224</v>
      </c>
      <c r="H35" s="23">
        <f t="shared" si="1"/>
        <v>58</v>
      </c>
      <c r="I35" s="25">
        <f t="shared" si="2"/>
        <v>8.2857142857142865</v>
      </c>
      <c r="J35" s="26">
        <f t="shared" si="3"/>
        <v>1.0999999999999999E-2</v>
      </c>
      <c r="K35" s="27">
        <v>1.0999999999999999E-2</v>
      </c>
      <c r="L35" s="28">
        <f t="shared" si="10"/>
        <v>1000</v>
      </c>
      <c r="M35" s="28">
        <f t="shared" si="4"/>
        <v>1000</v>
      </c>
      <c r="N35" s="29">
        <f t="shared" si="5"/>
        <v>12.154999999999999</v>
      </c>
      <c r="O35" s="30">
        <f t="shared" si="6"/>
        <v>85.084999999999994</v>
      </c>
      <c r="P35" s="25">
        <f>O35/(E35-D35)</f>
        <v>1.4669827586206896</v>
      </c>
      <c r="Q35" s="90">
        <v>3</v>
      </c>
      <c r="R35" s="28">
        <f t="shared" si="8"/>
        <v>4051.666666666667</v>
      </c>
      <c r="S35" s="28" t="s">
        <v>48</v>
      </c>
      <c r="T35" s="31">
        <f t="shared" si="12"/>
        <v>163.36320000000001</v>
      </c>
    </row>
    <row r="36" spans="1:28" x14ac:dyDescent="0.25">
      <c r="A36" s="9" t="s">
        <v>32</v>
      </c>
      <c r="B36" s="10">
        <v>1134</v>
      </c>
      <c r="C36" s="10">
        <v>1194</v>
      </c>
      <c r="D36" s="11">
        <f t="shared" si="9"/>
        <v>1134</v>
      </c>
      <c r="E36" s="11">
        <f t="shared" si="0"/>
        <v>1194</v>
      </c>
      <c r="F36" s="12">
        <v>33</v>
      </c>
      <c r="G36" s="12">
        <v>231</v>
      </c>
      <c r="H36" s="11">
        <f t="shared" si="1"/>
        <v>60</v>
      </c>
      <c r="I36" s="13">
        <f t="shared" si="2"/>
        <v>8.5714285714285712</v>
      </c>
      <c r="J36" s="14">
        <f t="shared" si="3"/>
        <v>1.0999999999999999E-2</v>
      </c>
      <c r="K36" s="15">
        <v>1.0999999999999999E-2</v>
      </c>
      <c r="L36" s="16">
        <f t="shared" si="10"/>
        <v>1000</v>
      </c>
      <c r="M36" s="16">
        <v>1000</v>
      </c>
      <c r="N36" s="17">
        <f t="shared" si="5"/>
        <v>12.804</v>
      </c>
      <c r="O36" s="18">
        <f t="shared" si="6"/>
        <v>89.628</v>
      </c>
      <c r="P36" s="13">
        <f>O36/(E36-D36)</f>
        <v>1.4938</v>
      </c>
      <c r="Q36" s="89">
        <v>3</v>
      </c>
      <c r="R36" s="16">
        <f t="shared" si="8"/>
        <v>4268</v>
      </c>
      <c r="S36" s="16" t="s">
        <v>48</v>
      </c>
      <c r="T36" s="19">
        <f t="shared" si="12"/>
        <v>172.08576000000002</v>
      </c>
    </row>
    <row r="37" spans="1:28" x14ac:dyDescent="0.25">
      <c r="K37" s="27"/>
      <c r="L37" s="78"/>
      <c r="M37" s="78"/>
      <c r="W37" s="2">
        <v>45</v>
      </c>
      <c r="X37" s="2">
        <v>65</v>
      </c>
      <c r="AA37" s="2">
        <v>55</v>
      </c>
    </row>
    <row r="38" spans="1:28" x14ac:dyDescent="0.25">
      <c r="L38" s="78"/>
      <c r="M38" s="78"/>
      <c r="P38" s="82"/>
      <c r="Q38" s="82"/>
      <c r="R38" s="82"/>
      <c r="S38" s="82"/>
      <c r="W38" s="2">
        <f>AVERAGE(W37:X37)</f>
        <v>55</v>
      </c>
      <c r="X38" s="2">
        <f>W38*5.8%</f>
        <v>3.19</v>
      </c>
      <c r="Z38" s="105">
        <f>2.61/45</f>
        <v>5.7999999999999996E-2</v>
      </c>
    </row>
    <row r="39" spans="1:28" x14ac:dyDescent="0.25">
      <c r="U39" s="79"/>
      <c r="V39" s="80"/>
      <c r="W39" s="81"/>
      <c r="Z39" s="2">
        <f>Z38/5.8%</f>
        <v>1</v>
      </c>
      <c r="AB39" s="2">
        <f>2.61/6</f>
        <v>0.435</v>
      </c>
    </row>
  </sheetData>
  <sheetProtection algorithmName="SHA-512" hashValue="qZu5/oZ9dsKJ2zOSH4sxfa9jRAYxrq+e4nlDri5k0tJQBGjQ4PYTCKi0GyQ9lbHFB7WuUJDK245frzCbqSrCbw==" saltValue="eSRgfJ2QRH+zZvVl55go/Q==" spinCount="100000" sheet="1" objects="1" scenarios="1"/>
  <mergeCells count="1">
    <mergeCell ref="A1:P1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Dashboard</vt:lpstr>
      <vt:lpstr>Tilápia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Prazeres</dc:creator>
  <cp:lastModifiedBy>ismael Prazeres</cp:lastModifiedBy>
  <dcterms:created xsi:type="dcterms:W3CDTF">2025-10-08T14:00:41Z</dcterms:created>
  <dcterms:modified xsi:type="dcterms:W3CDTF">2025-11-04T17:46:26Z</dcterms:modified>
</cp:coreProperties>
</file>